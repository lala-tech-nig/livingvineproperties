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PC\Documents\ADMIN\LIVING VINE\CONSULTANTS\LALA TECH\"/>
    </mc:Choice>
  </mc:AlternateContent>
  <xr:revisionPtr revIDLastSave="0" documentId="13_ncr:1_{5761F898-7131-4ED0-A5BA-2B687C8E86AB}" xr6:coauthVersionLast="47" xr6:coauthVersionMax="47" xr10:uidLastSave="{00000000-0000-0000-0000-000000000000}"/>
  <bookViews>
    <workbookView xWindow="-110" yWindow="-110" windowWidth="19420" windowHeight="10300" activeTab="1" xr2:uid="{04AAC044-4A22-4A58-A301-1116D0C6B901}"/>
  </bookViews>
  <sheets>
    <sheet name="MAY 2026" sheetId="4" r:id="rId1"/>
    <sheet name="LOCATION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48" i="4" l="1"/>
  <c r="Q49" i="4" s="1"/>
  <c r="Q50" i="4" s="1"/>
  <c r="Q51" i="4" s="1"/>
  <c r="Q52" i="4" s="1"/>
  <c r="Q53" i="4" s="1"/>
  <c r="Q54" i="4" s="1"/>
  <c r="P48" i="4"/>
  <c r="P49" i="4" s="1"/>
  <c r="P50" i="4" s="1"/>
  <c r="P51" i="4" s="1"/>
  <c r="P52" i="4" s="1"/>
  <c r="P53" i="4" s="1"/>
  <c r="P54" i="4" s="1"/>
  <c r="V68" i="5"/>
  <c r="W68" i="5"/>
  <c r="X68" i="5"/>
  <c r="Y68" i="5"/>
  <c r="Z68" i="5"/>
  <c r="Q68" i="5"/>
  <c r="R68" i="5"/>
  <c r="S68" i="5"/>
  <c r="T68" i="5"/>
  <c r="U68" i="5"/>
  <c r="K68" i="5"/>
  <c r="L68" i="5"/>
  <c r="M68" i="5"/>
  <c r="N68" i="5"/>
  <c r="O68" i="5"/>
  <c r="P68" i="5"/>
  <c r="F68" i="5"/>
  <c r="G68" i="5"/>
  <c r="H68" i="5"/>
  <c r="I68" i="5"/>
  <c r="J68" i="5"/>
  <c r="E68" i="5"/>
  <c r="L61" i="4"/>
  <c r="M61" i="4"/>
  <c r="H61" i="4"/>
  <c r="I61" i="4"/>
  <c r="J61" i="4"/>
  <c r="K61" i="4"/>
  <c r="G61" i="4"/>
  <c r="E94" i="5" l="1"/>
  <c r="E92" i="5"/>
  <c r="N5" i="4"/>
  <c r="N6" i="4" s="1"/>
  <c r="N7" i="4" s="1"/>
  <c r="O5" i="4"/>
  <c r="O6" i="4" s="1"/>
  <c r="O7" i="4" s="1"/>
  <c r="O8" i="4" s="1"/>
  <c r="O9" i="4" s="1"/>
  <c r="O10" i="4" s="1"/>
  <c r="O11" i="4" s="1"/>
  <c r="O12" i="4" s="1"/>
  <c r="O13" i="4" s="1"/>
  <c r="O14" i="4" s="1"/>
  <c r="O15" i="4" s="1"/>
  <c r="O16" i="4" s="1"/>
  <c r="O17" i="4" s="1"/>
  <c r="O18" i="4" s="1"/>
  <c r="O19" i="4" s="1"/>
  <c r="O20" i="4" s="1"/>
  <c r="O21" i="4" s="1"/>
  <c r="O22" i="4" s="1"/>
  <c r="O23" i="4" s="1"/>
  <c r="O24" i="4" s="1"/>
  <c r="O25" i="4" s="1"/>
  <c r="O26" i="4" s="1"/>
  <c r="O27" i="4" s="1"/>
  <c r="O28" i="4" s="1"/>
  <c r="O29" i="4" s="1"/>
  <c r="O30" i="4" s="1"/>
  <c r="O31" i="4" s="1"/>
  <c r="O32" i="4" s="1"/>
  <c r="O33" i="4" s="1"/>
  <c r="O34" i="4" s="1"/>
  <c r="O35" i="4" s="1"/>
  <c r="O36" i="4" s="1"/>
  <c r="O37" i="4" s="1"/>
  <c r="O38" i="4" s="1"/>
  <c r="O39" i="4" s="1"/>
  <c r="O40" i="4" s="1"/>
  <c r="O41" i="4" s="1"/>
  <c r="O42" i="4" s="1"/>
  <c r="O43" i="4" s="1"/>
  <c r="O44" i="4" s="1"/>
  <c r="O45" i="4" s="1"/>
  <c r="O46" i="4" s="1"/>
  <c r="O47" i="4" s="1"/>
  <c r="O48" i="4" s="1"/>
  <c r="P5" i="4"/>
  <c r="P6" i="4" s="1"/>
  <c r="P7" i="4" s="1"/>
  <c r="P8" i="4" s="1"/>
  <c r="P9" i="4" s="1"/>
  <c r="P10" i="4" s="1"/>
  <c r="P11" i="4" s="1"/>
  <c r="P12" i="4" s="1"/>
  <c r="P13" i="4" s="1"/>
  <c r="P14" i="4" s="1"/>
  <c r="P15" i="4" s="1"/>
  <c r="P16" i="4" s="1"/>
  <c r="P17" i="4" s="1"/>
  <c r="P18" i="4" s="1"/>
  <c r="P19" i="4" s="1"/>
  <c r="P20" i="4" s="1"/>
  <c r="P21" i="4" s="1"/>
  <c r="P22" i="4" s="1"/>
  <c r="P23" i="4" s="1"/>
  <c r="P24" i="4" s="1"/>
  <c r="P25" i="4" s="1"/>
  <c r="P26" i="4" s="1"/>
  <c r="P27" i="4" s="1"/>
  <c r="P28" i="4" s="1"/>
  <c r="P29" i="4" s="1"/>
  <c r="P30" i="4" s="1"/>
  <c r="P31" i="4" s="1"/>
  <c r="P32" i="4" s="1"/>
  <c r="P33" i="4" s="1"/>
  <c r="P34" i="4" s="1"/>
  <c r="P35" i="4" s="1"/>
  <c r="P36" i="4" s="1"/>
  <c r="P37" i="4" s="1"/>
  <c r="P38" i="4" s="1"/>
  <c r="P39" i="4" s="1"/>
  <c r="P40" i="4" s="1"/>
  <c r="P41" i="4" s="1"/>
  <c r="P42" i="4" s="1"/>
  <c r="P43" i="4" s="1"/>
  <c r="P44" i="4" s="1"/>
  <c r="P45" i="4" s="1"/>
  <c r="P46" i="4" s="1"/>
  <c r="P47" i="4" s="1"/>
  <c r="Q5" i="4"/>
  <c r="Q6" i="4" s="1"/>
  <c r="Q7" i="4" s="1"/>
  <c r="Q8" i="4" s="1"/>
  <c r="Q9" i="4" s="1"/>
  <c r="Q10" i="4" s="1"/>
  <c r="Q11" i="4" s="1"/>
  <c r="Q12" i="4" s="1"/>
  <c r="Q13" i="4" s="1"/>
  <c r="Q14" i="4" s="1"/>
  <c r="Q15" i="4" s="1"/>
  <c r="Q16" i="4" s="1"/>
  <c r="Q17" i="4" s="1"/>
  <c r="Q18" i="4" s="1"/>
  <c r="Q19" i="4" s="1"/>
  <c r="Q20" i="4" s="1"/>
  <c r="Q21" i="4" s="1"/>
  <c r="Q22" i="4" s="1"/>
  <c r="Q23" i="4" s="1"/>
  <c r="Q24" i="4" s="1"/>
  <c r="Q25" i="4" s="1"/>
  <c r="Q26" i="4" s="1"/>
  <c r="Q27" i="4" s="1"/>
  <c r="Q28" i="4" s="1"/>
  <c r="Q29" i="4" s="1"/>
  <c r="Q30" i="4" s="1"/>
  <c r="Q31" i="4" s="1"/>
  <c r="Q32" i="4" s="1"/>
  <c r="Q33" i="4" s="1"/>
  <c r="Q34" i="4" s="1"/>
  <c r="Q35" i="4" s="1"/>
  <c r="Q36" i="4" s="1"/>
  <c r="Q37" i="4" s="1"/>
  <c r="Q38" i="4" s="1"/>
  <c r="Q39" i="4" s="1"/>
  <c r="Q40" i="4" s="1"/>
  <c r="Q41" i="4" s="1"/>
  <c r="Q42" i="4" s="1"/>
  <c r="Q43" i="4" s="1"/>
  <c r="Q44" i="4" s="1"/>
  <c r="Q45" i="4" s="1"/>
  <c r="Q46" i="4" s="1"/>
  <c r="Q47" i="4" s="1"/>
  <c r="F61" i="4"/>
  <c r="F76" i="5"/>
  <c r="F81" i="5"/>
  <c r="E73" i="5"/>
  <c r="E74" i="5"/>
  <c r="E75" i="5"/>
  <c r="E77" i="5"/>
  <c r="E78" i="5"/>
  <c r="E79" i="5"/>
  <c r="E80" i="5"/>
  <c r="E82" i="5"/>
  <c r="E83" i="5"/>
  <c r="E84" i="5"/>
  <c r="E85" i="5"/>
  <c r="E86" i="5"/>
  <c r="E87" i="5"/>
  <c r="E88" i="5"/>
  <c r="E89" i="5"/>
  <c r="E90" i="5"/>
  <c r="E91" i="5"/>
  <c r="E93" i="5"/>
  <c r="O49" i="4" l="1"/>
  <c r="N8" i="4"/>
  <c r="R7" i="4"/>
  <c r="F95" i="5"/>
  <c r="E95" i="5"/>
  <c r="R6" i="4"/>
  <c r="R5" i="4"/>
  <c r="O50" i="4" l="1"/>
  <c r="N9" i="4"/>
  <c r="R8" i="4"/>
  <c r="E96" i="5"/>
  <c r="O51" i="4" l="1"/>
  <c r="N10" i="4"/>
  <c r="R9" i="4"/>
  <c r="O52" i="4" l="1"/>
  <c r="N11" i="4"/>
  <c r="R10" i="4"/>
  <c r="O53" i="4" l="1"/>
  <c r="N12" i="4"/>
  <c r="R11" i="4"/>
  <c r="O54" i="4" l="1"/>
  <c r="N13" i="4"/>
  <c r="R12" i="4"/>
  <c r="N14" i="4" l="1"/>
  <c r="R13" i="4"/>
  <c r="N15" i="4" l="1"/>
  <c r="R14" i="4"/>
  <c r="N16" i="4" l="1"/>
  <c r="R15" i="4"/>
  <c r="N17" i="4" l="1"/>
  <c r="R16" i="4"/>
  <c r="N18" i="4" l="1"/>
  <c r="R17" i="4"/>
  <c r="R18" i="4" l="1"/>
  <c r="N19" i="4"/>
  <c r="N20" i="4" l="1"/>
  <c r="R19" i="4"/>
  <c r="N21" i="4" l="1"/>
  <c r="R20" i="4"/>
  <c r="N22" i="4" l="1"/>
  <c r="R21" i="4"/>
  <c r="N23" i="4" l="1"/>
  <c r="R22" i="4"/>
  <c r="N24" i="4" l="1"/>
  <c r="R23" i="4"/>
  <c r="N25" i="4" l="1"/>
  <c r="R24" i="4"/>
  <c r="N26" i="4" l="1"/>
  <c r="R25" i="4"/>
  <c r="N27" i="4" l="1"/>
  <c r="R26" i="4"/>
  <c r="N28" i="4" l="1"/>
  <c r="R27" i="4"/>
  <c r="N29" i="4" l="1"/>
  <c r="R28" i="4"/>
  <c r="N30" i="4" l="1"/>
  <c r="R29" i="4"/>
  <c r="N31" i="4" l="1"/>
  <c r="R30" i="4"/>
  <c r="N32" i="4" l="1"/>
  <c r="R31" i="4"/>
  <c r="N33" i="4" l="1"/>
  <c r="R32" i="4"/>
  <c r="N34" i="4" l="1"/>
  <c r="R33" i="4"/>
  <c r="N35" i="4" l="1"/>
  <c r="R34" i="4"/>
  <c r="N36" i="4" l="1"/>
  <c r="R35" i="4"/>
  <c r="N37" i="4" l="1"/>
  <c r="R36" i="4"/>
  <c r="N38" i="4" l="1"/>
  <c r="R37" i="4"/>
  <c r="N39" i="4" l="1"/>
  <c r="R38" i="4"/>
  <c r="N40" i="4" l="1"/>
  <c r="R39" i="4"/>
  <c r="N41" i="4" l="1"/>
  <c r="R40" i="4"/>
  <c r="N42" i="4" l="1"/>
  <c r="R41" i="4"/>
  <c r="N43" i="4" l="1"/>
  <c r="R42" i="4"/>
  <c r="N44" i="4" l="1"/>
  <c r="R43" i="4"/>
  <c r="N45" i="4" l="1"/>
  <c r="R44" i="4"/>
  <c r="N46" i="4" l="1"/>
  <c r="R45" i="4"/>
  <c r="N47" i="4" l="1"/>
  <c r="R46" i="4"/>
  <c r="R47" i="4" l="1"/>
  <c r="N48" i="4"/>
  <c r="N49" i="4" l="1"/>
  <c r="R48" i="4"/>
  <c r="N50" i="4" l="1"/>
  <c r="R49" i="4"/>
  <c r="N51" i="4" l="1"/>
  <c r="R50" i="4"/>
  <c r="N52" i="4" l="1"/>
  <c r="R51" i="4"/>
  <c r="N53" i="4" l="1"/>
  <c r="R52" i="4"/>
  <c r="N54" i="4" l="1"/>
  <c r="R54" i="4" s="1"/>
  <c r="R53" i="4"/>
</calcChain>
</file>

<file path=xl/sharedStrings.xml><?xml version="1.0" encoding="utf-8"?>
<sst xmlns="http://schemas.openxmlformats.org/spreadsheetml/2006/main" count="285" uniqueCount="170">
  <si>
    <t>LIVING VINE PROPERTIES INVESTMENT LTD</t>
  </si>
  <si>
    <t>S/N</t>
  </si>
  <si>
    <t>DATE</t>
  </si>
  <si>
    <t>PARTICULARS</t>
  </si>
  <si>
    <t>INCOME</t>
  </si>
  <si>
    <t>EXPENDITURE</t>
  </si>
  <si>
    <t>BALANCE</t>
  </si>
  <si>
    <t>VOUCHER NO.</t>
  </si>
  <si>
    <t>TOTAL</t>
  </si>
  <si>
    <t>DESCRIPTION</t>
  </si>
  <si>
    <t>AGENT COMM</t>
  </si>
  <si>
    <t>LEGAL FEES</t>
  </si>
  <si>
    <t>PURCHASE</t>
  </si>
  <si>
    <t>SALES</t>
  </si>
  <si>
    <t>VEHICLE MAINT</t>
  </si>
  <si>
    <t>OFFICE MAINT.</t>
  </si>
  <si>
    <t>REFERRAL C&amp;B</t>
  </si>
  <si>
    <t>FUEL V&amp;GEN</t>
  </si>
  <si>
    <t>ELECTRICITY</t>
  </si>
  <si>
    <t>SALARY &amp; ALL</t>
  </si>
  <si>
    <t>ADVERT</t>
  </si>
  <si>
    <t>UBA</t>
  </si>
  <si>
    <t>WHT</t>
  </si>
  <si>
    <t>PAYEE</t>
  </si>
  <si>
    <t>PROPERTY EXP</t>
  </si>
  <si>
    <t>PENCOM</t>
  </si>
  <si>
    <t>ASSET</t>
  </si>
  <si>
    <t>GEN. REPAIR</t>
  </si>
  <si>
    <t>EXPENSES</t>
  </si>
  <si>
    <t>OFFICE MAINTENANCE</t>
  </si>
  <si>
    <t>SALES OF PROPERTIES</t>
  </si>
  <si>
    <t>PURCHASE OF PROPERTIES</t>
  </si>
  <si>
    <t xml:space="preserve">AGENT COMMISSIONS </t>
  </si>
  <si>
    <t>VEHICLE MAINTENANCE</t>
  </si>
  <si>
    <t xml:space="preserve">ADVERT </t>
  </si>
  <si>
    <t>REFERRAL COMMISSION AND BONUS</t>
  </si>
  <si>
    <t>ELECTRICITY TOKEN</t>
  </si>
  <si>
    <t>WITHHOLDING TAX</t>
  </si>
  <si>
    <t>PAYEE TAX</t>
  </si>
  <si>
    <t>INTERNET &amp;CUG</t>
  </si>
  <si>
    <t>ASSET ACQUISITION</t>
  </si>
  <si>
    <t>GENERATOR REPAIRS</t>
  </si>
  <si>
    <t>SALARIES, ALLOWANCES AND REIMBURSEMENTS</t>
  </si>
  <si>
    <t>PROPERTY EXPENSES</t>
  </si>
  <si>
    <t xml:space="preserve">PENCOM REMITTANCE </t>
  </si>
  <si>
    <t>INVESTMENT/LOAN</t>
  </si>
  <si>
    <t>FBN</t>
  </si>
  <si>
    <t>GTBANK</t>
  </si>
  <si>
    <t>CASH</t>
  </si>
  <si>
    <t xml:space="preserve">UBA </t>
  </si>
  <si>
    <t xml:space="preserve">GTBANK </t>
  </si>
  <si>
    <t>VAT</t>
  </si>
  <si>
    <t>ALL BALANCES</t>
  </si>
  <si>
    <t>INVESTORS/ LOAN FUNDS</t>
  </si>
  <si>
    <t xml:space="preserve">BALANCE (SURPLUS) </t>
  </si>
  <si>
    <t>APRIL INCOME AND EXPENDITURE ACCOUNT</t>
  </si>
  <si>
    <t>INVESTMENT &amp;ROI</t>
  </si>
  <si>
    <t>INVESTMENT AND RETURN ON INVESTMENT PAYOUT</t>
  </si>
  <si>
    <t>FUELING OF VEHICLES AND GENERATOR</t>
  </si>
  <si>
    <t>RENT</t>
  </si>
  <si>
    <t>RENT AND SERVICE CHARGE</t>
  </si>
  <si>
    <t>MAY 2026 GENERAL LEDGER</t>
  </si>
  <si>
    <t xml:space="preserve">Balance brought forward from April 2026  </t>
  </si>
  <si>
    <t>AB/05/026/501</t>
  </si>
  <si>
    <t>AB/05/026/502</t>
  </si>
  <si>
    <t>AB/05/026/503</t>
  </si>
  <si>
    <t>AB/05/026/504</t>
  </si>
  <si>
    <t>AB/05/026/505</t>
  </si>
  <si>
    <t>AB/05/026/506</t>
  </si>
  <si>
    <t>AB/05/026/507</t>
  </si>
  <si>
    <t>AB/05/026/508</t>
  </si>
  <si>
    <t>AB/05/026/509</t>
  </si>
  <si>
    <t>AB/05/026/510</t>
  </si>
  <si>
    <t>AB/05/026/511</t>
  </si>
  <si>
    <t>AB/05/026/512</t>
  </si>
  <si>
    <t>Purchase of Office Tioletries</t>
  </si>
  <si>
    <t>Staff Weekly Allowance: Mr. Kazeem</t>
  </si>
  <si>
    <t>Deposit for the Purchase of Ibari Street Property (Deposit 2)</t>
  </si>
  <si>
    <t>Purchase of Rushewe Estate Property</t>
  </si>
  <si>
    <t>Monthly Airtime Purchase for MD</t>
  </si>
  <si>
    <t>Lunch allowance for new staff : Mr. Daniel Akpan</t>
  </si>
  <si>
    <t>Transportation for Running MD's Errands</t>
  </si>
  <si>
    <t>Purchase of 2 c-way bottle water</t>
  </si>
  <si>
    <t>5/52026</t>
  </si>
  <si>
    <t>Investment and ROI Payment to Mrs. Abiola Tina Omoye</t>
  </si>
  <si>
    <t>Investment and ROI Payment to Mr. Oladipupo Sunday Abolade</t>
  </si>
  <si>
    <t>Printing of Staff ID card and purchase of Hanging accessories</t>
  </si>
  <si>
    <t>AB/05/026/513</t>
  </si>
  <si>
    <t>AB/05/026/514</t>
  </si>
  <si>
    <t>AB/05/026/515</t>
  </si>
  <si>
    <t>AB/05/026/516</t>
  </si>
  <si>
    <t>Cash withdraw from UBA</t>
  </si>
  <si>
    <t>INTERNET, AIRTIME AND CUG SUBSCRIPTION</t>
  </si>
  <si>
    <t xml:space="preserve">MAY SUMMARY </t>
  </si>
  <si>
    <t>AB/05/026/517</t>
  </si>
  <si>
    <t>AB/05/026/518</t>
  </si>
  <si>
    <t>AB/05/026/519</t>
  </si>
  <si>
    <t>AB/05/026/520</t>
  </si>
  <si>
    <t>AB/05/026/521</t>
  </si>
  <si>
    <t>AB/05/026/522</t>
  </si>
  <si>
    <t>AB/05/026/523</t>
  </si>
  <si>
    <t>AB/05/026/524</t>
  </si>
  <si>
    <t>AB/05/026/525</t>
  </si>
  <si>
    <t>AB/05/026/526</t>
  </si>
  <si>
    <t>AB/05/026/527</t>
  </si>
  <si>
    <t>AB/05/026/528</t>
  </si>
  <si>
    <t>AB/05/026/529</t>
  </si>
  <si>
    <t>Tyre service (2 hyundai Red car and 1 Honda Pilot tyre)</t>
  </si>
  <si>
    <t>Purchase of 2 HP Laptops</t>
  </si>
  <si>
    <t>Issuance of Property Recovery Notice</t>
  </si>
  <si>
    <t>Replace of Battery for Hyundai Red car remote control</t>
  </si>
  <si>
    <t>Sales of Rusewe Estate Property</t>
  </si>
  <si>
    <t>Operational Soft Loan From ABC</t>
  </si>
  <si>
    <t>Purchase of Grease and Iron Clip for Corolla Shaft Replacement</t>
  </si>
  <si>
    <t>Refund to MD for Agents Logisitics on Rusewe Property Purchase</t>
  </si>
  <si>
    <t>Purchase of Additional One HP Laptop</t>
  </si>
  <si>
    <t>Production of BDM Complimentry Cards</t>
  </si>
  <si>
    <t>Legal Fees for Rusewe Estate Property</t>
  </si>
  <si>
    <t xml:space="preserve"> Tizeti Internet Monthly Subscription</t>
  </si>
  <si>
    <t>Agency fees on Purchase of Rusewe Property Part 1 of 2</t>
  </si>
  <si>
    <t>Agency fees on Purchase of Rusewe Property Part 2 of 2</t>
  </si>
  <si>
    <t>11/5/206</t>
  </si>
  <si>
    <t>Car Park Fees at Mediation Center at Agege LGA</t>
  </si>
  <si>
    <t>12 Months Investment Subscription</t>
  </si>
  <si>
    <t>Refund to MD on Cars repairs</t>
  </si>
  <si>
    <t>AB/05/026/530</t>
  </si>
  <si>
    <t>AB/05/026/531</t>
  </si>
  <si>
    <t>AB/05/026/532</t>
  </si>
  <si>
    <t>AB/05/026/533</t>
  </si>
  <si>
    <t>AB/05/026/534</t>
  </si>
  <si>
    <t>AB/05/026/535</t>
  </si>
  <si>
    <t>AB/05/026/536</t>
  </si>
  <si>
    <t>Refund to MD on Other Agent Logisticis on Shyllon Estate Property</t>
  </si>
  <si>
    <t>Refund to MD on New BDM Training Transport Allowance</t>
  </si>
  <si>
    <t>Refund to MD on Honda Pilot Kick Repair</t>
  </si>
  <si>
    <t>Investment Referral Bonus on 24m Investment</t>
  </si>
  <si>
    <t>Agency Fees on the Sales of Rusewe Estate Property</t>
  </si>
  <si>
    <t>Weekly Allowancce to Staff: Mr. Kazeem Adisa</t>
  </si>
  <si>
    <t>Part 1 of 3 Payment for 12 Month Investment Subscription</t>
  </si>
  <si>
    <t>AB/05/026/537</t>
  </si>
  <si>
    <t>AB/05/026/538</t>
  </si>
  <si>
    <t>AB/05/026/539</t>
  </si>
  <si>
    <t>AB/05/026/540</t>
  </si>
  <si>
    <t>AB/05/026/541</t>
  </si>
  <si>
    <t>AB/05/026/542</t>
  </si>
  <si>
    <t>Mechanic Workmanship Balance on cars repair</t>
  </si>
  <si>
    <t>Part 2 of 3 Payment for 12 Month Investment Subscription</t>
  </si>
  <si>
    <t>ROI Upfront payout on 400,000 investment subscription</t>
  </si>
  <si>
    <t>Investment and ROI Payout at Maturity</t>
  </si>
  <si>
    <t>Car Was of Red Hyundai Interior and Extrior</t>
  </si>
  <si>
    <t>AB/05/026/543</t>
  </si>
  <si>
    <t>Conversion of All  Outstanding ABC Soft Loan to 12 Months Investment</t>
  </si>
  <si>
    <t>Car Wash of Red Hyundai Interior and Extrior</t>
  </si>
  <si>
    <t>AB/05/026/544</t>
  </si>
  <si>
    <t>AB/05/026/545</t>
  </si>
  <si>
    <t>AB/05/026/546</t>
  </si>
  <si>
    <t>AB/05/026/547</t>
  </si>
  <si>
    <t>AB/05/026/548</t>
  </si>
  <si>
    <t>AB/05/026/549</t>
  </si>
  <si>
    <t>AB/05/026/550</t>
  </si>
  <si>
    <t>AB/05/026/551</t>
  </si>
  <si>
    <t>AB/05/026/552</t>
  </si>
  <si>
    <t>AB/05/026/553</t>
  </si>
  <si>
    <t>13/5/2026</t>
  </si>
  <si>
    <t>Refund on Excess WHT Deduction from MD referral bonus paid</t>
  </si>
  <si>
    <t>50% ROI Payout on 25M investment Subscription</t>
  </si>
  <si>
    <t>Investment Referral Bonus on 25m Investment</t>
  </si>
  <si>
    <t>80% Advance Payment for Webapp and Mobileapp Development</t>
  </si>
  <si>
    <t>Payment 3of3 of the 25M 12 months Investment Subscription</t>
  </si>
  <si>
    <t>Fueling of Red Hyundai 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</si>
</sst>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sz val="12"/>
      <color rgb="FFFF0000"/>
      <name val="Times New Roman"/>
      <family val="1"/>
    </font>
    <font>
      <sz val="12"/>
      <color theme="4"/>
      <name val="Times New Roman"/>
      <family val="1"/>
    </font>
    <font>
      <sz val="8"/>
      <name val="Calibri"/>
      <family val="2"/>
      <scheme val="minor"/>
    </font>
    <font>
      <b/>
      <sz val="9"/>
      <color theme="1"/>
      <name val="Times New Roman"/>
      <family val="1"/>
    </font>
    <font>
      <b/>
      <sz val="9"/>
      <color rgb="FFFF0000"/>
      <name val="Times New Roman"/>
      <family val="1"/>
    </font>
    <font>
      <sz val="12"/>
      <color theme="9"/>
      <name val="Times New Roman"/>
      <family val="1"/>
    </font>
    <font>
      <b/>
      <sz val="12"/>
      <color theme="9"/>
      <name val="Times New Roman"/>
      <family val="1"/>
    </font>
    <font>
      <b/>
      <sz val="9"/>
      <color theme="9"/>
      <name val="Times New Roman"/>
      <family val="1"/>
    </font>
    <font>
      <b/>
      <sz val="11"/>
      <color theme="1"/>
      <name val="Times New Roman"/>
      <family val="1"/>
    </font>
    <font>
      <sz val="12"/>
      <color rgb="FF00B050"/>
      <name val="Times New Roman"/>
      <family val="1"/>
    </font>
    <font>
      <b/>
      <sz val="16"/>
      <color theme="1"/>
      <name val="Times New Roman"/>
      <family val="1"/>
    </font>
    <font>
      <b/>
      <sz val="16"/>
      <color rgb="FFFF0000"/>
      <name val="Times New Roman"/>
      <family val="1"/>
    </font>
    <font>
      <b/>
      <sz val="18"/>
      <color theme="1"/>
      <name val="Times New Roman"/>
      <family val="1"/>
    </font>
    <font>
      <b/>
      <sz val="12"/>
      <color rgb="FF0070C0"/>
      <name val="Times New Roman"/>
      <family val="1"/>
    </font>
    <font>
      <sz val="12"/>
      <color rgb="FF0070C0"/>
      <name val="Times New Roman"/>
      <family val="1"/>
    </font>
    <font>
      <b/>
      <sz val="12"/>
      <color rgb="FF00B050"/>
      <name val="Times New Roman"/>
      <family val="1"/>
    </font>
    <font>
      <b/>
      <sz val="16"/>
      <color rgb="FF00B050"/>
      <name val="Times New Roman"/>
      <family val="1"/>
    </font>
    <font>
      <b/>
      <sz val="16"/>
      <color rgb="FF0070C0"/>
      <name val="Times New Roman"/>
      <family val="1"/>
    </font>
    <font>
      <b/>
      <sz val="9"/>
      <color rgb="FF0070C0"/>
      <name val="Times New Roman"/>
      <family val="1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43" fontId="5" fillId="0" borderId="1" xfId="0" applyNumberFormat="1" applyFont="1" applyBorder="1"/>
    <xf numFmtId="0" fontId="1" fillId="0" borderId="1" xfId="0" applyFont="1" applyBorder="1" applyAlignment="1">
      <alignment horizontal="right"/>
    </xf>
    <xf numFmtId="0" fontId="2" fillId="0" borderId="4" xfId="0" applyFont="1" applyBorder="1" applyAlignment="1">
      <alignment horizontal="center"/>
    </xf>
    <xf numFmtId="43" fontId="5" fillId="0" borderId="6" xfId="0" applyNumberFormat="1" applyFont="1" applyBorder="1"/>
    <xf numFmtId="0" fontId="8" fillId="0" borderId="1" xfId="0" applyFont="1" applyBorder="1" applyAlignment="1">
      <alignment horizontal="center"/>
    </xf>
    <xf numFmtId="43" fontId="9" fillId="0" borderId="1" xfId="0" applyNumberFormat="1" applyFont="1" applyBorder="1" applyAlignment="1">
      <alignment horizontal="center"/>
    </xf>
    <xf numFmtId="43" fontId="10" fillId="0" borderId="1" xfId="0" applyNumberFormat="1" applyFont="1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43" fontId="12" fillId="0" borderId="1" xfId="0" applyNumberFormat="1" applyFont="1" applyBorder="1" applyAlignment="1">
      <alignment horizontal="center"/>
    </xf>
    <xf numFmtId="14" fontId="1" fillId="0" borderId="1" xfId="0" applyNumberFormat="1" applyFont="1" applyBorder="1" applyAlignment="1">
      <alignment horizontal="right"/>
    </xf>
    <xf numFmtId="14" fontId="2" fillId="0" borderId="1" xfId="0" applyNumberFormat="1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43" fontId="9" fillId="0" borderId="6" xfId="0" applyNumberFormat="1" applyFont="1" applyBorder="1" applyAlignment="1">
      <alignment horizontal="center"/>
    </xf>
    <xf numFmtId="43" fontId="12" fillId="0" borderId="6" xfId="0" applyNumberFormat="1" applyFont="1" applyBorder="1" applyAlignment="1">
      <alignment horizontal="center"/>
    </xf>
    <xf numFmtId="43" fontId="4" fillId="0" borderId="6" xfId="0" applyNumberFormat="1" applyFont="1" applyBorder="1" applyAlignment="1">
      <alignment horizontal="center"/>
    </xf>
    <xf numFmtId="0" fontId="15" fillId="0" borderId="1" xfId="0" applyFont="1" applyBorder="1" applyAlignment="1">
      <alignment horizontal="right"/>
    </xf>
    <xf numFmtId="43" fontId="16" fillId="0" borderId="1" xfId="0" applyNumberFormat="1" applyFont="1" applyBorder="1"/>
    <xf numFmtId="0" fontId="1" fillId="0" borderId="7" xfId="0" applyFont="1" applyBorder="1" applyAlignment="1">
      <alignment horizontal="center"/>
    </xf>
    <xf numFmtId="14" fontId="1" fillId="0" borderId="7" xfId="0" applyNumberFormat="1" applyFont="1" applyBorder="1" applyAlignment="1">
      <alignment horizontal="right"/>
    </xf>
    <xf numFmtId="0" fontId="8" fillId="0" borderId="7" xfId="0" applyFont="1" applyBorder="1" applyAlignment="1">
      <alignment horizontal="center"/>
    </xf>
    <xf numFmtId="43" fontId="9" fillId="0" borderId="7" xfId="0" applyNumberFormat="1" applyFont="1" applyBorder="1" applyAlignment="1">
      <alignment horizontal="center"/>
    </xf>
    <xf numFmtId="43" fontId="12" fillId="0" borderId="7" xfId="0" applyNumberFormat="1" applyFont="1" applyBorder="1" applyAlignment="1">
      <alignment horizontal="center"/>
    </xf>
    <xf numFmtId="43" fontId="4" fillId="0" borderId="7" xfId="0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14" fontId="1" fillId="0" borderId="0" xfId="0" applyNumberFormat="1" applyFont="1" applyAlignment="1">
      <alignment horizontal="right"/>
    </xf>
    <xf numFmtId="43" fontId="9" fillId="0" borderId="0" xfId="0" applyNumberFormat="1" applyFont="1" applyAlignment="1">
      <alignment horizontal="center"/>
    </xf>
    <xf numFmtId="43" fontId="12" fillId="0" borderId="0" xfId="0" applyNumberFormat="1" applyFont="1" applyAlignment="1">
      <alignment horizontal="center"/>
    </xf>
    <xf numFmtId="43" fontId="4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43" fontId="5" fillId="0" borderId="0" xfId="0" applyNumberFormat="1" applyFont="1"/>
    <xf numFmtId="43" fontId="10" fillId="0" borderId="0" xfId="0" applyNumberFormat="1" applyFont="1"/>
    <xf numFmtId="0" fontId="1" fillId="0" borderId="0" xfId="0" applyFont="1"/>
    <xf numFmtId="0" fontId="1" fillId="0" borderId="0" xfId="0" applyFont="1" applyAlignment="1">
      <alignment horizontal="right"/>
    </xf>
    <xf numFmtId="0" fontId="13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5" fillId="0" borderId="5" xfId="0" applyFont="1" applyBorder="1" applyAlignment="1">
      <alignment horizontal="right"/>
    </xf>
    <xf numFmtId="43" fontId="4" fillId="0" borderId="1" xfId="0" applyNumberFormat="1" applyFont="1" applyBorder="1" applyAlignment="1">
      <alignment horizontal="center"/>
    </xf>
    <xf numFmtId="43" fontId="14" fillId="0" borderId="1" xfId="0" applyNumberFormat="1" applyFont="1" applyBorder="1"/>
    <xf numFmtId="43" fontId="19" fillId="0" borderId="1" xfId="0" applyNumberFormat="1" applyFont="1" applyBorder="1"/>
    <xf numFmtId="0" fontId="5" fillId="0" borderId="1" xfId="0" applyFont="1" applyBorder="1"/>
    <xf numFmtId="43" fontId="14" fillId="0" borderId="3" xfId="0" applyNumberFormat="1" applyFont="1" applyBorder="1"/>
    <xf numFmtId="43" fontId="21" fillId="0" borderId="3" xfId="0" applyNumberFormat="1" applyFont="1" applyBorder="1"/>
    <xf numFmtId="43" fontId="20" fillId="0" borderId="3" xfId="0" applyNumberFormat="1" applyFont="1" applyBorder="1" applyAlignment="1">
      <alignment horizontal="center"/>
    </xf>
    <xf numFmtId="43" fontId="14" fillId="0" borderId="3" xfId="0" applyNumberFormat="1" applyFont="1" applyBorder="1" applyAlignment="1">
      <alignment horizontal="center"/>
    </xf>
    <xf numFmtId="43" fontId="5" fillId="0" borderId="1" xfId="0" applyNumberFormat="1" applyFont="1" applyBorder="1" applyAlignment="1">
      <alignment horizontal="center"/>
    </xf>
    <xf numFmtId="0" fontId="4" fillId="0" borderId="1" xfId="0" applyFont="1" applyBorder="1"/>
    <xf numFmtId="0" fontId="18" fillId="0" borderId="1" xfId="0" applyFont="1" applyBorder="1"/>
    <xf numFmtId="0" fontId="20" fillId="0" borderId="1" xfId="0" applyFont="1" applyBorder="1"/>
    <xf numFmtId="14" fontId="2" fillId="0" borderId="1" xfId="0" applyNumberFormat="1" applyFont="1" applyBorder="1" applyAlignment="1">
      <alignment horizontal="right"/>
    </xf>
    <xf numFmtId="43" fontId="20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3" fontId="11" fillId="0" borderId="1" xfId="0" applyNumberFormat="1" applyFont="1" applyBorder="1" applyAlignment="1">
      <alignment horizontal="center"/>
    </xf>
    <xf numFmtId="43" fontId="18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right"/>
    </xf>
    <xf numFmtId="43" fontId="6" fillId="0" borderId="1" xfId="0" applyNumberFormat="1" applyFont="1" applyBorder="1"/>
    <xf numFmtId="0" fontId="2" fillId="0" borderId="1" xfId="0" applyFont="1" applyBorder="1" applyAlignment="1">
      <alignment horizontal="right"/>
    </xf>
    <xf numFmtId="43" fontId="11" fillId="0" borderId="1" xfId="0" applyNumberFormat="1" applyFont="1" applyBorder="1"/>
    <xf numFmtId="0" fontId="2" fillId="0" borderId="1" xfId="0" applyFont="1" applyBorder="1"/>
    <xf numFmtId="43" fontId="2" fillId="0" borderId="1" xfId="0" applyNumberFormat="1" applyFont="1" applyBorder="1"/>
    <xf numFmtId="0" fontId="19" fillId="0" borderId="16" xfId="0" applyFont="1" applyBorder="1" applyAlignment="1">
      <alignment horizontal="center"/>
    </xf>
    <xf numFmtId="14" fontId="19" fillId="0" borderId="17" xfId="0" applyNumberFormat="1" applyFont="1" applyBorder="1" applyAlignment="1">
      <alignment horizontal="right"/>
    </xf>
    <xf numFmtId="0" fontId="19" fillId="0" borderId="17" xfId="0" applyFont="1" applyBorder="1" applyAlignment="1">
      <alignment horizontal="right"/>
    </xf>
    <xf numFmtId="0" fontId="23" fillId="0" borderId="17" xfId="0" applyFont="1" applyBorder="1" applyAlignment="1">
      <alignment horizontal="right"/>
    </xf>
    <xf numFmtId="43" fontId="23" fillId="0" borderId="17" xfId="0" applyNumberFormat="1" applyFont="1" applyBorder="1" applyAlignment="1">
      <alignment horizontal="center"/>
    </xf>
    <xf numFmtId="0" fontId="23" fillId="0" borderId="17" xfId="0" applyFont="1" applyBorder="1" applyAlignment="1">
      <alignment horizontal="center"/>
    </xf>
    <xf numFmtId="43" fontId="9" fillId="0" borderId="17" xfId="0" applyNumberFormat="1" applyFont="1" applyBorder="1" applyAlignment="1">
      <alignment horizontal="center"/>
    </xf>
    <xf numFmtId="43" fontId="4" fillId="0" borderId="1" xfId="0" applyNumberFormat="1" applyFont="1" applyBorder="1" applyAlignment="1">
      <alignment horizontal="center"/>
    </xf>
    <xf numFmtId="43" fontId="18" fillId="0" borderId="11" xfId="0" applyNumberFormat="1" applyFont="1" applyBorder="1" applyAlignment="1">
      <alignment horizontal="center"/>
    </xf>
    <xf numFmtId="43" fontId="18" fillId="0" borderId="12" xfId="0" applyNumberFormat="1" applyFont="1" applyBorder="1" applyAlignment="1">
      <alignment horizontal="center"/>
    </xf>
    <xf numFmtId="43" fontId="18" fillId="0" borderId="13" xfId="0" applyNumberFormat="1" applyFont="1" applyBorder="1" applyAlignment="1">
      <alignment horizontal="center"/>
    </xf>
    <xf numFmtId="43" fontId="11" fillId="0" borderId="11" xfId="0" applyNumberFormat="1" applyFont="1" applyBorder="1" applyAlignment="1">
      <alignment horizontal="center"/>
    </xf>
    <xf numFmtId="43" fontId="11" fillId="0" borderId="12" xfId="0" applyNumberFormat="1" applyFont="1" applyBorder="1" applyAlignment="1">
      <alignment horizontal="center"/>
    </xf>
    <xf numFmtId="43" fontId="11" fillId="0" borderId="13" xfId="0" applyNumberFormat="1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17" fillId="0" borderId="9" xfId="0" applyFont="1" applyBorder="1" applyAlignment="1">
      <alignment horizontal="center"/>
    </xf>
    <xf numFmtId="0" fontId="17" fillId="0" borderId="10" xfId="0" applyFont="1" applyBorder="1" applyAlignment="1">
      <alignment horizontal="center"/>
    </xf>
    <xf numFmtId="43" fontId="22" fillId="0" borderId="14" xfId="0" applyNumberFormat="1" applyFont="1" applyBorder="1" applyAlignment="1">
      <alignment horizontal="left"/>
    </xf>
    <xf numFmtId="43" fontId="22" fillId="0" borderId="15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D099F-CFA3-4444-94F3-7BD8BE866950}">
  <dimension ref="A1:U61"/>
  <sheetViews>
    <sheetView zoomScale="90" zoomScaleNormal="90" workbookViewId="0">
      <pane xSplit="5" ySplit="4" topLeftCell="K100" activePane="bottomRight" state="frozen"/>
      <selection pane="topRight" activeCell="F1" sqref="F1"/>
      <selection pane="bottomLeft" activeCell="A5" sqref="A5"/>
      <selection pane="bottomRight" activeCell="N170" sqref="N170"/>
    </sheetView>
  </sheetViews>
  <sheetFormatPr defaultColWidth="9.1796875" defaultRowHeight="15.5" x14ac:dyDescent="0.35"/>
  <cols>
    <col min="1" max="2" width="7.7265625" style="9" customWidth="1"/>
    <col min="3" max="3" width="11.453125" style="12" customWidth="1"/>
    <col min="4" max="4" width="16.54296875" style="2" customWidth="1"/>
    <col min="5" max="5" width="63.453125" style="8" customWidth="1"/>
    <col min="6" max="6" width="20.1796875" style="7" customWidth="1"/>
    <col min="7" max="7" width="15.81640625" style="7" customWidth="1"/>
    <col min="8" max="8" width="13" style="7" customWidth="1"/>
    <col min="9" max="9" width="15.54296875" style="7" customWidth="1"/>
    <col min="10" max="10" width="17.7265625" style="1" customWidth="1"/>
    <col min="11" max="11" width="15.26953125" style="1" customWidth="1"/>
    <col min="12" max="12" width="17.7265625" style="1" customWidth="1"/>
    <col min="13" max="13" width="13.81640625" style="1" customWidth="1"/>
    <col min="14" max="14" width="17.81640625" style="41" customWidth="1"/>
    <col min="15" max="15" width="16.1796875" style="41" customWidth="1"/>
    <col min="16" max="16" width="15.54296875" style="41" customWidth="1"/>
    <col min="17" max="17" width="13.81640625" style="41" customWidth="1"/>
    <col min="18" max="18" width="19.1796875" style="40" customWidth="1"/>
    <col min="19" max="20" width="9.1796875" style="8"/>
    <col min="21" max="21" width="19.453125" style="8" customWidth="1"/>
    <col min="22" max="16384" width="9.1796875" style="8"/>
  </cols>
  <sheetData>
    <row r="1" spans="1:18" x14ac:dyDescent="0.35">
      <c r="A1" s="76" t="s">
        <v>0</v>
      </c>
      <c r="B1" s="77"/>
      <c r="C1" s="77"/>
      <c r="D1" s="77"/>
      <c r="E1" s="77"/>
      <c r="F1" s="77"/>
      <c r="G1" s="77"/>
      <c r="H1" s="77"/>
      <c r="I1" s="78"/>
      <c r="J1" s="48"/>
      <c r="K1" s="48"/>
      <c r="L1" s="48"/>
      <c r="M1" s="48"/>
      <c r="N1" s="49"/>
      <c r="O1" s="49"/>
      <c r="P1" s="49"/>
      <c r="Q1" s="49"/>
      <c r="R1" s="50"/>
    </row>
    <row r="2" spans="1:18" x14ac:dyDescent="0.35">
      <c r="A2" s="76" t="s">
        <v>55</v>
      </c>
      <c r="B2" s="77"/>
      <c r="C2" s="77"/>
      <c r="D2" s="77"/>
      <c r="E2" s="77"/>
      <c r="F2" s="77"/>
      <c r="G2" s="77"/>
      <c r="H2" s="77"/>
      <c r="I2" s="78"/>
      <c r="J2" s="48"/>
      <c r="K2" s="48"/>
      <c r="L2" s="48"/>
      <c r="M2" s="48"/>
      <c r="N2" s="49"/>
      <c r="O2" s="49"/>
      <c r="P2" s="49"/>
      <c r="Q2" s="49"/>
      <c r="R2" s="50"/>
    </row>
    <row r="3" spans="1:18" s="53" customFormat="1" ht="15" x14ac:dyDescent="0.3">
      <c r="B3" s="53" t="s">
        <v>1</v>
      </c>
      <c r="C3" s="13" t="s">
        <v>2</v>
      </c>
      <c r="D3" s="53" t="s">
        <v>7</v>
      </c>
      <c r="E3" s="53" t="s">
        <v>3</v>
      </c>
      <c r="F3" s="73" t="s">
        <v>4</v>
      </c>
      <c r="G3" s="74"/>
      <c r="H3" s="74"/>
      <c r="I3" s="75"/>
      <c r="J3" s="69" t="s">
        <v>5</v>
      </c>
      <c r="K3" s="69"/>
      <c r="L3" s="69"/>
      <c r="M3" s="69"/>
      <c r="N3" s="70" t="s">
        <v>6</v>
      </c>
      <c r="O3" s="71"/>
      <c r="P3" s="71"/>
      <c r="Q3" s="71"/>
      <c r="R3" s="72"/>
    </row>
    <row r="4" spans="1:18" s="53" customFormat="1" ht="15" x14ac:dyDescent="0.3">
      <c r="C4" s="51"/>
      <c r="F4" s="54" t="s">
        <v>46</v>
      </c>
      <c r="G4" s="54" t="s">
        <v>21</v>
      </c>
      <c r="H4" s="54" t="s">
        <v>47</v>
      </c>
      <c r="I4" s="54" t="s">
        <v>48</v>
      </c>
      <c r="J4" s="39" t="s">
        <v>46</v>
      </c>
      <c r="K4" s="39" t="s">
        <v>49</v>
      </c>
      <c r="L4" s="39" t="s">
        <v>50</v>
      </c>
      <c r="M4" s="39" t="s">
        <v>48</v>
      </c>
      <c r="N4" s="55" t="s">
        <v>46</v>
      </c>
      <c r="O4" s="55" t="s">
        <v>49</v>
      </c>
      <c r="P4" s="55" t="s">
        <v>50</v>
      </c>
      <c r="Q4" s="55" t="s">
        <v>48</v>
      </c>
      <c r="R4" s="52" t="s">
        <v>52</v>
      </c>
    </row>
    <row r="5" spans="1:18" x14ac:dyDescent="0.35">
      <c r="E5" s="56" t="s">
        <v>62</v>
      </c>
      <c r="F5" s="57">
        <v>50000</v>
      </c>
      <c r="G5" s="7">
        <v>5666</v>
      </c>
      <c r="H5" s="7">
        <v>1477.75</v>
      </c>
      <c r="I5" s="57">
        <v>-2200</v>
      </c>
      <c r="N5" s="41">
        <f>SUM(F5-J5)</f>
        <v>50000</v>
      </c>
      <c r="O5" s="41">
        <f>SUM(G5-K5)</f>
        <v>5666</v>
      </c>
      <c r="P5" s="41">
        <f>SUM(H5-L5)</f>
        <v>1477.75</v>
      </c>
      <c r="Q5" s="41">
        <f>SUM(I5-M5)</f>
        <v>-2200</v>
      </c>
      <c r="R5" s="40">
        <f>SUM(N5+O5+P5+Q5)</f>
        <v>54943.75</v>
      </c>
    </row>
    <row r="6" spans="1:18" x14ac:dyDescent="0.35">
      <c r="B6" s="9">
        <v>1</v>
      </c>
      <c r="C6" s="12">
        <v>46117</v>
      </c>
      <c r="D6" s="2" t="s">
        <v>63</v>
      </c>
      <c r="E6" s="10" t="s">
        <v>75</v>
      </c>
      <c r="J6" s="42"/>
      <c r="K6" s="1">
        <v>8300</v>
      </c>
      <c r="N6" s="41">
        <f t="shared" ref="N6:Q21" si="0">SUM(N5+F6-J6)</f>
        <v>50000</v>
      </c>
      <c r="O6" s="41">
        <f t="shared" si="0"/>
        <v>-2634</v>
      </c>
      <c r="P6" s="41">
        <f t="shared" si="0"/>
        <v>1477.75</v>
      </c>
      <c r="Q6" s="41">
        <f t="shared" si="0"/>
        <v>-2200</v>
      </c>
      <c r="R6" s="40">
        <f>SUM(N6+O6+P6+Q6)</f>
        <v>46643.75</v>
      </c>
    </row>
    <row r="7" spans="1:18" x14ac:dyDescent="0.35">
      <c r="B7" s="9">
        <v>2</v>
      </c>
      <c r="C7" s="12">
        <v>46117</v>
      </c>
      <c r="D7" s="2" t="s">
        <v>64</v>
      </c>
      <c r="E7" s="10" t="s">
        <v>76</v>
      </c>
      <c r="J7" s="1">
        <v>10000</v>
      </c>
      <c r="N7" s="41">
        <f t="shared" si="0"/>
        <v>40000</v>
      </c>
      <c r="O7" s="41">
        <f t="shared" si="0"/>
        <v>-2634</v>
      </c>
      <c r="P7" s="41">
        <f t="shared" si="0"/>
        <v>1477.75</v>
      </c>
      <c r="Q7" s="41">
        <f t="shared" si="0"/>
        <v>-2200</v>
      </c>
      <c r="R7" s="40">
        <f t="shared" ref="R7:R54" si="1">SUM(N7+O7+P7+Q7)</f>
        <v>36643.75</v>
      </c>
    </row>
    <row r="8" spans="1:18" x14ac:dyDescent="0.35">
      <c r="B8" s="9">
        <v>3</v>
      </c>
      <c r="C8" s="12">
        <v>46117</v>
      </c>
      <c r="D8" s="2" t="s">
        <v>65</v>
      </c>
      <c r="E8" s="8" t="s">
        <v>77</v>
      </c>
      <c r="J8" s="1">
        <v>50000000</v>
      </c>
      <c r="N8" s="41">
        <f t="shared" si="0"/>
        <v>-49960000</v>
      </c>
      <c r="O8" s="41">
        <f t="shared" si="0"/>
        <v>-2634</v>
      </c>
      <c r="P8" s="41">
        <f t="shared" si="0"/>
        <v>1477.75</v>
      </c>
      <c r="Q8" s="41">
        <f t="shared" si="0"/>
        <v>-2200</v>
      </c>
      <c r="R8" s="40">
        <f t="shared" si="1"/>
        <v>-49963356.25</v>
      </c>
    </row>
    <row r="9" spans="1:18" x14ac:dyDescent="0.35">
      <c r="B9" s="9">
        <v>4</v>
      </c>
      <c r="C9" s="12">
        <v>46086</v>
      </c>
      <c r="D9" s="2" t="s">
        <v>66</v>
      </c>
      <c r="E9" s="8" t="s">
        <v>78</v>
      </c>
      <c r="J9" s="1">
        <v>38000000</v>
      </c>
      <c r="N9" s="41">
        <f t="shared" si="0"/>
        <v>-87960000</v>
      </c>
      <c r="O9" s="41">
        <f t="shared" si="0"/>
        <v>-2634</v>
      </c>
      <c r="P9" s="41">
        <f t="shared" si="0"/>
        <v>1477.75</v>
      </c>
      <c r="Q9" s="41">
        <f t="shared" si="0"/>
        <v>-2200</v>
      </c>
      <c r="R9" s="40">
        <f t="shared" si="1"/>
        <v>-87963356.25</v>
      </c>
    </row>
    <row r="10" spans="1:18" x14ac:dyDescent="0.35">
      <c r="B10" s="9">
        <v>5</v>
      </c>
      <c r="C10" s="12">
        <v>46117</v>
      </c>
      <c r="D10" s="2" t="s">
        <v>67</v>
      </c>
      <c r="E10" s="8" t="s">
        <v>79</v>
      </c>
      <c r="J10" s="1">
        <v>10000</v>
      </c>
      <c r="N10" s="41">
        <f t="shared" si="0"/>
        <v>-87970000</v>
      </c>
      <c r="O10" s="41">
        <f t="shared" si="0"/>
        <v>-2634</v>
      </c>
      <c r="P10" s="41">
        <f t="shared" si="0"/>
        <v>1477.75</v>
      </c>
      <c r="Q10" s="41">
        <f t="shared" si="0"/>
        <v>-2200</v>
      </c>
      <c r="R10" s="40">
        <f t="shared" si="1"/>
        <v>-87973356.25</v>
      </c>
    </row>
    <row r="11" spans="1:18" x14ac:dyDescent="0.35">
      <c r="B11" s="9">
        <v>6</v>
      </c>
      <c r="C11" s="12">
        <v>46117</v>
      </c>
      <c r="D11" s="2" t="s">
        <v>68</v>
      </c>
      <c r="E11" s="8" t="s">
        <v>80</v>
      </c>
      <c r="M11" s="1">
        <v>2000</v>
      </c>
      <c r="N11" s="41">
        <f t="shared" si="0"/>
        <v>-87970000</v>
      </c>
      <c r="O11" s="41">
        <f t="shared" si="0"/>
        <v>-2634</v>
      </c>
      <c r="P11" s="41">
        <f t="shared" si="0"/>
        <v>1477.75</v>
      </c>
      <c r="Q11" s="41">
        <f t="shared" si="0"/>
        <v>-4200</v>
      </c>
      <c r="R11" s="40">
        <f t="shared" si="1"/>
        <v>-87975356.25</v>
      </c>
    </row>
    <row r="12" spans="1:18" x14ac:dyDescent="0.35">
      <c r="B12" s="9">
        <v>7</v>
      </c>
      <c r="C12" s="12">
        <v>46117</v>
      </c>
      <c r="D12" s="2" t="s">
        <v>69</v>
      </c>
      <c r="E12" s="8" t="s">
        <v>81</v>
      </c>
      <c r="M12" s="1">
        <v>500</v>
      </c>
      <c r="N12" s="41">
        <f t="shared" si="0"/>
        <v>-87970000</v>
      </c>
      <c r="O12" s="41">
        <f t="shared" si="0"/>
        <v>-2634</v>
      </c>
      <c r="P12" s="41">
        <f t="shared" si="0"/>
        <v>1477.75</v>
      </c>
      <c r="Q12" s="41">
        <f t="shared" si="0"/>
        <v>-4700</v>
      </c>
      <c r="R12" s="40">
        <f t="shared" si="1"/>
        <v>-87975856.25</v>
      </c>
    </row>
    <row r="13" spans="1:18" x14ac:dyDescent="0.35">
      <c r="B13" s="9">
        <v>8</v>
      </c>
      <c r="C13" s="12" t="s">
        <v>83</v>
      </c>
      <c r="D13" s="2" t="s">
        <v>70</v>
      </c>
      <c r="E13" s="8" t="s">
        <v>82</v>
      </c>
      <c r="M13" s="1">
        <v>2500</v>
      </c>
      <c r="N13" s="41">
        <f t="shared" si="0"/>
        <v>-87970000</v>
      </c>
      <c r="O13" s="41">
        <f t="shared" si="0"/>
        <v>-2634</v>
      </c>
      <c r="P13" s="41">
        <f t="shared" si="0"/>
        <v>1477.75</v>
      </c>
      <c r="Q13" s="41">
        <f t="shared" si="0"/>
        <v>-7200</v>
      </c>
      <c r="R13" s="40">
        <f t="shared" si="1"/>
        <v>-87978356.25</v>
      </c>
    </row>
    <row r="14" spans="1:18" x14ac:dyDescent="0.35">
      <c r="B14" s="9">
        <v>9</v>
      </c>
      <c r="C14" s="12" t="s">
        <v>83</v>
      </c>
      <c r="D14" s="2" t="s">
        <v>71</v>
      </c>
      <c r="E14" s="8" t="s">
        <v>84</v>
      </c>
      <c r="J14" s="1">
        <v>5990000</v>
      </c>
      <c r="N14" s="41">
        <f t="shared" si="0"/>
        <v>-93960000</v>
      </c>
      <c r="O14" s="41">
        <f t="shared" si="0"/>
        <v>-2634</v>
      </c>
      <c r="P14" s="41">
        <f t="shared" si="0"/>
        <v>1477.75</v>
      </c>
      <c r="Q14" s="41">
        <f t="shared" si="0"/>
        <v>-7200</v>
      </c>
      <c r="R14" s="40">
        <f t="shared" si="1"/>
        <v>-93968356.25</v>
      </c>
    </row>
    <row r="15" spans="1:18" x14ac:dyDescent="0.35">
      <c r="B15" s="9">
        <v>10</v>
      </c>
      <c r="C15" s="12" t="s">
        <v>83</v>
      </c>
      <c r="D15" s="2" t="s">
        <v>72</v>
      </c>
      <c r="E15" s="8" t="s">
        <v>85</v>
      </c>
      <c r="J15" s="1">
        <v>4193000</v>
      </c>
      <c r="N15" s="41">
        <f t="shared" si="0"/>
        <v>-98153000</v>
      </c>
      <c r="O15" s="41">
        <f t="shared" si="0"/>
        <v>-2634</v>
      </c>
      <c r="P15" s="41">
        <f t="shared" si="0"/>
        <v>1477.75</v>
      </c>
      <c r="Q15" s="41">
        <f t="shared" si="0"/>
        <v>-7200</v>
      </c>
      <c r="R15" s="40">
        <f t="shared" si="1"/>
        <v>-98161356.25</v>
      </c>
    </row>
    <row r="16" spans="1:18" x14ac:dyDescent="0.35">
      <c r="B16" s="9">
        <v>11</v>
      </c>
      <c r="C16" s="12" t="s">
        <v>83</v>
      </c>
      <c r="D16" s="2" t="s">
        <v>73</v>
      </c>
      <c r="E16" s="8" t="s">
        <v>86</v>
      </c>
      <c r="M16" s="1">
        <v>3800</v>
      </c>
      <c r="N16" s="41">
        <f t="shared" si="0"/>
        <v>-98153000</v>
      </c>
      <c r="O16" s="41">
        <f t="shared" si="0"/>
        <v>-2634</v>
      </c>
      <c r="P16" s="41">
        <f t="shared" si="0"/>
        <v>1477.75</v>
      </c>
      <c r="Q16" s="41">
        <f t="shared" si="0"/>
        <v>-11000</v>
      </c>
      <c r="R16" s="40">
        <f t="shared" si="1"/>
        <v>-98165156.25</v>
      </c>
    </row>
    <row r="17" spans="2:18" x14ac:dyDescent="0.35">
      <c r="B17" s="9">
        <v>12</v>
      </c>
      <c r="C17" s="12">
        <v>46117</v>
      </c>
      <c r="D17" s="2" t="s">
        <v>74</v>
      </c>
      <c r="E17" s="8" t="s">
        <v>91</v>
      </c>
      <c r="I17" s="7">
        <v>20000</v>
      </c>
      <c r="K17" s="1">
        <v>20000</v>
      </c>
      <c r="N17" s="41">
        <f t="shared" si="0"/>
        <v>-98153000</v>
      </c>
      <c r="O17" s="41">
        <f t="shared" si="0"/>
        <v>-22634</v>
      </c>
      <c r="P17" s="41">
        <f t="shared" si="0"/>
        <v>1477.75</v>
      </c>
      <c r="Q17" s="41">
        <f t="shared" si="0"/>
        <v>9000</v>
      </c>
      <c r="R17" s="40">
        <f t="shared" si="1"/>
        <v>-98165156.25</v>
      </c>
    </row>
    <row r="18" spans="2:18" x14ac:dyDescent="0.35">
      <c r="B18" s="9">
        <v>13</v>
      </c>
      <c r="C18" s="12">
        <v>46147</v>
      </c>
      <c r="D18" s="2" t="s">
        <v>87</v>
      </c>
      <c r="E18" s="8" t="s">
        <v>107</v>
      </c>
      <c r="M18" s="1">
        <v>5500</v>
      </c>
      <c r="N18" s="41">
        <f t="shared" si="0"/>
        <v>-98153000</v>
      </c>
      <c r="O18" s="41">
        <f t="shared" si="0"/>
        <v>-22634</v>
      </c>
      <c r="P18" s="41">
        <f t="shared" si="0"/>
        <v>1477.75</v>
      </c>
      <c r="Q18" s="41">
        <f t="shared" si="0"/>
        <v>3500</v>
      </c>
      <c r="R18" s="40">
        <f t="shared" si="1"/>
        <v>-98170656.25</v>
      </c>
    </row>
    <row r="19" spans="2:18" x14ac:dyDescent="0.35">
      <c r="B19" s="9">
        <v>14</v>
      </c>
      <c r="C19" s="12">
        <v>46147</v>
      </c>
      <c r="D19" s="2" t="s">
        <v>88</v>
      </c>
      <c r="E19" s="8" t="s">
        <v>108</v>
      </c>
      <c r="J19" s="1">
        <v>660000</v>
      </c>
      <c r="N19" s="41">
        <f t="shared" si="0"/>
        <v>-98813000</v>
      </c>
      <c r="O19" s="41">
        <f t="shared" si="0"/>
        <v>-22634</v>
      </c>
      <c r="P19" s="41">
        <f t="shared" si="0"/>
        <v>1477.75</v>
      </c>
      <c r="Q19" s="41">
        <f t="shared" si="0"/>
        <v>3500</v>
      </c>
      <c r="R19" s="40">
        <f t="shared" si="1"/>
        <v>-98830656.25</v>
      </c>
    </row>
    <row r="20" spans="2:18" x14ac:dyDescent="0.35">
      <c r="B20" s="9">
        <v>15</v>
      </c>
      <c r="C20" s="12">
        <v>46147</v>
      </c>
      <c r="D20" s="2" t="s">
        <v>89</v>
      </c>
      <c r="E20" s="8" t="s">
        <v>109</v>
      </c>
      <c r="J20" s="1">
        <v>10000</v>
      </c>
      <c r="N20" s="41">
        <f t="shared" si="0"/>
        <v>-98823000</v>
      </c>
      <c r="O20" s="41">
        <f t="shared" si="0"/>
        <v>-22634</v>
      </c>
      <c r="P20" s="41">
        <f t="shared" si="0"/>
        <v>1477.75</v>
      </c>
      <c r="Q20" s="41">
        <f t="shared" si="0"/>
        <v>3500</v>
      </c>
      <c r="R20" s="40">
        <f t="shared" si="1"/>
        <v>-98840656.25</v>
      </c>
    </row>
    <row r="21" spans="2:18" x14ac:dyDescent="0.35">
      <c r="B21" s="9">
        <v>16</v>
      </c>
      <c r="C21" s="12">
        <v>46178</v>
      </c>
      <c r="D21" s="2" t="s">
        <v>90</v>
      </c>
      <c r="E21" s="8" t="s">
        <v>110</v>
      </c>
      <c r="K21" s="1">
        <v>3000</v>
      </c>
      <c r="N21" s="41">
        <f t="shared" si="0"/>
        <v>-98823000</v>
      </c>
      <c r="O21" s="41">
        <f t="shared" si="0"/>
        <v>-25634</v>
      </c>
      <c r="P21" s="41">
        <f t="shared" si="0"/>
        <v>1477.75</v>
      </c>
      <c r="Q21" s="41">
        <f t="shared" si="0"/>
        <v>3500</v>
      </c>
      <c r="R21" s="40">
        <f t="shared" si="1"/>
        <v>-98843656.25</v>
      </c>
    </row>
    <row r="22" spans="2:18" x14ac:dyDescent="0.35">
      <c r="B22" s="9">
        <v>17</v>
      </c>
      <c r="C22" s="12">
        <v>46178</v>
      </c>
      <c r="D22" s="2" t="s">
        <v>94</v>
      </c>
      <c r="E22" s="8" t="s">
        <v>111</v>
      </c>
      <c r="F22" s="7">
        <v>6000</v>
      </c>
      <c r="N22" s="41">
        <f t="shared" ref="N22:Q48" si="2">SUM(N21+F22-J22)</f>
        <v>-98817000</v>
      </c>
      <c r="O22" s="41">
        <f t="shared" si="2"/>
        <v>-25634</v>
      </c>
      <c r="P22" s="41">
        <f t="shared" si="2"/>
        <v>1477.75</v>
      </c>
      <c r="Q22" s="41">
        <f t="shared" si="2"/>
        <v>3500</v>
      </c>
      <c r="R22" s="40">
        <f t="shared" si="1"/>
        <v>-98837656.25</v>
      </c>
    </row>
    <row r="23" spans="2:18" x14ac:dyDescent="0.35">
      <c r="B23" s="9">
        <v>18</v>
      </c>
      <c r="C23" s="12">
        <v>46178</v>
      </c>
      <c r="D23" s="2" t="s">
        <v>95</v>
      </c>
      <c r="E23" s="8" t="s">
        <v>112</v>
      </c>
      <c r="F23" s="7">
        <v>6000</v>
      </c>
      <c r="N23" s="41">
        <f t="shared" si="2"/>
        <v>-98811000</v>
      </c>
      <c r="O23" s="41">
        <f t="shared" si="2"/>
        <v>-25634</v>
      </c>
      <c r="P23" s="41">
        <f t="shared" si="2"/>
        <v>1477.75</v>
      </c>
      <c r="Q23" s="41">
        <f t="shared" si="2"/>
        <v>3500</v>
      </c>
      <c r="R23" s="40">
        <f t="shared" si="1"/>
        <v>-98831656.25</v>
      </c>
    </row>
    <row r="24" spans="2:18" x14ac:dyDescent="0.35">
      <c r="B24" s="9">
        <v>19</v>
      </c>
      <c r="C24" s="12">
        <v>46239</v>
      </c>
      <c r="D24" s="2" t="s">
        <v>96</v>
      </c>
      <c r="E24" s="8" t="s">
        <v>113</v>
      </c>
      <c r="K24" s="1">
        <v>3100</v>
      </c>
      <c r="N24" s="41">
        <f t="shared" si="2"/>
        <v>-98811000</v>
      </c>
      <c r="O24" s="41">
        <f t="shared" si="2"/>
        <v>-28734</v>
      </c>
      <c r="P24" s="41">
        <f t="shared" si="2"/>
        <v>1477.75</v>
      </c>
      <c r="Q24" s="41">
        <f t="shared" si="2"/>
        <v>3500</v>
      </c>
      <c r="R24" s="40">
        <f t="shared" si="1"/>
        <v>-98834756.25</v>
      </c>
    </row>
    <row r="25" spans="2:18" x14ac:dyDescent="0.35">
      <c r="B25" s="9">
        <v>20</v>
      </c>
      <c r="C25" s="12">
        <v>46239</v>
      </c>
      <c r="D25" s="2" t="s">
        <v>97</v>
      </c>
      <c r="E25" s="8" t="s">
        <v>114</v>
      </c>
      <c r="J25" s="1">
        <v>1450000</v>
      </c>
      <c r="N25" s="41">
        <f t="shared" si="2"/>
        <v>-100261000</v>
      </c>
      <c r="O25" s="41">
        <f t="shared" si="2"/>
        <v>-28734</v>
      </c>
      <c r="P25" s="41">
        <f t="shared" si="2"/>
        <v>1477.75</v>
      </c>
      <c r="Q25" s="41">
        <f t="shared" si="2"/>
        <v>3500</v>
      </c>
      <c r="R25" s="40">
        <f t="shared" si="1"/>
        <v>-100284756.25</v>
      </c>
    </row>
    <row r="26" spans="2:18" x14ac:dyDescent="0.35">
      <c r="B26" s="9">
        <v>21</v>
      </c>
      <c r="C26" s="12">
        <v>46239</v>
      </c>
      <c r="D26" s="2" t="s">
        <v>98</v>
      </c>
      <c r="E26" s="8" t="s">
        <v>115</v>
      </c>
      <c r="J26" s="1">
        <v>195000</v>
      </c>
      <c r="N26" s="41">
        <f t="shared" si="2"/>
        <v>-100456000</v>
      </c>
      <c r="O26" s="41">
        <f t="shared" si="2"/>
        <v>-28734</v>
      </c>
      <c r="P26" s="41">
        <f t="shared" si="2"/>
        <v>1477.75</v>
      </c>
      <c r="Q26" s="41">
        <f t="shared" si="2"/>
        <v>3500</v>
      </c>
      <c r="R26" s="40">
        <f t="shared" si="1"/>
        <v>-100479756.25</v>
      </c>
    </row>
    <row r="27" spans="2:18" x14ac:dyDescent="0.35">
      <c r="B27" s="9">
        <v>22</v>
      </c>
      <c r="C27" s="12">
        <v>46239</v>
      </c>
      <c r="D27" s="2" t="s">
        <v>99</v>
      </c>
      <c r="E27" s="8" t="s">
        <v>116</v>
      </c>
      <c r="J27" s="1">
        <v>17100</v>
      </c>
      <c r="N27" s="41">
        <f t="shared" si="2"/>
        <v>-100473100</v>
      </c>
      <c r="O27" s="41">
        <f t="shared" si="2"/>
        <v>-28734</v>
      </c>
      <c r="P27" s="41">
        <f t="shared" si="2"/>
        <v>1477.75</v>
      </c>
      <c r="Q27" s="41">
        <f t="shared" si="2"/>
        <v>3500</v>
      </c>
      <c r="R27" s="40">
        <f t="shared" si="1"/>
        <v>-100496856.25</v>
      </c>
    </row>
    <row r="28" spans="2:18" x14ac:dyDescent="0.35">
      <c r="B28" s="9">
        <v>23</v>
      </c>
      <c r="C28" s="12">
        <v>46239</v>
      </c>
      <c r="D28" s="2" t="s">
        <v>100</v>
      </c>
      <c r="E28" s="8" t="s">
        <v>117</v>
      </c>
      <c r="J28" s="1">
        <v>95000</v>
      </c>
      <c r="N28" s="41">
        <f t="shared" si="2"/>
        <v>-100568100</v>
      </c>
      <c r="O28" s="41">
        <f t="shared" si="2"/>
        <v>-28734</v>
      </c>
      <c r="P28" s="41">
        <f t="shared" si="2"/>
        <v>1477.75</v>
      </c>
      <c r="Q28" s="41">
        <f t="shared" si="2"/>
        <v>3500</v>
      </c>
      <c r="R28" s="40">
        <f t="shared" si="1"/>
        <v>-100591856.25</v>
      </c>
    </row>
    <row r="29" spans="2:18" x14ac:dyDescent="0.35">
      <c r="B29" s="9">
        <v>24</v>
      </c>
      <c r="C29" s="12">
        <v>46239</v>
      </c>
      <c r="D29" s="2" t="s">
        <v>101</v>
      </c>
      <c r="E29" s="8" t="s">
        <v>118</v>
      </c>
      <c r="J29" s="1">
        <v>27890.47</v>
      </c>
      <c r="N29" s="41">
        <f t="shared" si="2"/>
        <v>-100595990.47</v>
      </c>
      <c r="O29" s="41">
        <f t="shared" si="2"/>
        <v>-28734</v>
      </c>
      <c r="P29" s="41">
        <f t="shared" si="2"/>
        <v>1477.75</v>
      </c>
      <c r="Q29" s="41">
        <f t="shared" si="2"/>
        <v>3500</v>
      </c>
      <c r="R29" s="40">
        <f t="shared" si="1"/>
        <v>-100619746.72</v>
      </c>
    </row>
    <row r="30" spans="2:18" x14ac:dyDescent="0.35">
      <c r="B30" s="9">
        <v>25</v>
      </c>
      <c r="C30" s="12">
        <v>46239</v>
      </c>
      <c r="D30" s="2" t="s">
        <v>102</v>
      </c>
      <c r="E30" s="8" t="s">
        <v>119</v>
      </c>
      <c r="J30" s="1">
        <v>361000</v>
      </c>
      <c r="N30" s="41">
        <f t="shared" si="2"/>
        <v>-100956990.47</v>
      </c>
      <c r="O30" s="41">
        <f t="shared" si="2"/>
        <v>-28734</v>
      </c>
      <c r="P30" s="41">
        <f t="shared" si="2"/>
        <v>1477.75</v>
      </c>
      <c r="Q30" s="41">
        <f t="shared" si="2"/>
        <v>3500</v>
      </c>
      <c r="R30" s="40">
        <f t="shared" si="1"/>
        <v>-100980746.72</v>
      </c>
    </row>
    <row r="31" spans="2:18" x14ac:dyDescent="0.35">
      <c r="B31" s="9">
        <v>26</v>
      </c>
      <c r="C31" s="12">
        <v>46239</v>
      </c>
      <c r="D31" s="2" t="s">
        <v>103</v>
      </c>
      <c r="E31" s="8" t="s">
        <v>120</v>
      </c>
      <c r="J31" s="1">
        <v>541500</v>
      </c>
      <c r="N31" s="41">
        <f t="shared" si="2"/>
        <v>-101498490.47</v>
      </c>
      <c r="O31" s="41">
        <f t="shared" si="2"/>
        <v>-28734</v>
      </c>
      <c r="P31" s="41">
        <f t="shared" si="2"/>
        <v>1477.75</v>
      </c>
      <c r="Q31" s="41">
        <f t="shared" si="2"/>
        <v>3500</v>
      </c>
      <c r="R31" s="40">
        <f t="shared" si="1"/>
        <v>-101522246.72</v>
      </c>
    </row>
    <row r="32" spans="2:18" x14ac:dyDescent="0.35">
      <c r="B32" s="9">
        <v>27</v>
      </c>
      <c r="C32" s="12" t="s">
        <v>121</v>
      </c>
      <c r="D32" s="2" t="s">
        <v>104</v>
      </c>
      <c r="E32" s="8" t="s">
        <v>122</v>
      </c>
      <c r="M32" s="1">
        <v>500</v>
      </c>
      <c r="N32" s="41">
        <f t="shared" si="2"/>
        <v>-101498490.47</v>
      </c>
      <c r="O32" s="41">
        <f t="shared" si="2"/>
        <v>-28734</v>
      </c>
      <c r="P32" s="41">
        <f t="shared" si="2"/>
        <v>1477.75</v>
      </c>
      <c r="Q32" s="41">
        <f t="shared" si="2"/>
        <v>3000</v>
      </c>
      <c r="R32" s="40">
        <f t="shared" si="1"/>
        <v>-101522746.72</v>
      </c>
    </row>
    <row r="33" spans="2:18" x14ac:dyDescent="0.35">
      <c r="B33" s="9">
        <v>28</v>
      </c>
      <c r="C33" s="12">
        <v>46270</v>
      </c>
      <c r="D33" s="2" t="s">
        <v>105</v>
      </c>
      <c r="E33" s="8" t="s">
        <v>123</v>
      </c>
      <c r="F33" s="7">
        <v>6000</v>
      </c>
      <c r="N33" s="41">
        <f t="shared" si="2"/>
        <v>-101492490.47</v>
      </c>
      <c r="O33" s="41">
        <f t="shared" si="2"/>
        <v>-28734</v>
      </c>
      <c r="P33" s="41">
        <f t="shared" si="2"/>
        <v>1477.75</v>
      </c>
      <c r="Q33" s="41">
        <f t="shared" si="2"/>
        <v>3000</v>
      </c>
      <c r="R33" s="40">
        <f t="shared" si="1"/>
        <v>-101516746.72</v>
      </c>
    </row>
    <row r="34" spans="2:18" x14ac:dyDescent="0.35">
      <c r="B34" s="9">
        <v>29</v>
      </c>
      <c r="C34" s="12">
        <v>46331</v>
      </c>
      <c r="D34" s="2" t="s">
        <v>106</v>
      </c>
      <c r="E34" s="8" t="s">
        <v>124</v>
      </c>
      <c r="J34" s="1">
        <v>162000</v>
      </c>
      <c r="N34" s="41">
        <f t="shared" si="2"/>
        <v>-101654490.47</v>
      </c>
      <c r="O34" s="41">
        <f t="shared" si="2"/>
        <v>-28734</v>
      </c>
      <c r="P34" s="41">
        <f t="shared" si="2"/>
        <v>1477.75</v>
      </c>
      <c r="Q34" s="41">
        <f t="shared" si="2"/>
        <v>3000</v>
      </c>
      <c r="R34" s="40">
        <f t="shared" si="1"/>
        <v>-101678746.72</v>
      </c>
    </row>
    <row r="35" spans="2:18" x14ac:dyDescent="0.35">
      <c r="B35" s="9">
        <v>30</v>
      </c>
      <c r="C35" s="12">
        <v>46331</v>
      </c>
      <c r="D35" s="2" t="s">
        <v>125</v>
      </c>
      <c r="E35" s="8" t="s">
        <v>132</v>
      </c>
      <c r="J35" s="1">
        <v>50000</v>
      </c>
      <c r="N35" s="41">
        <f t="shared" si="2"/>
        <v>-101704490.47</v>
      </c>
      <c r="O35" s="41">
        <f t="shared" si="2"/>
        <v>-28734</v>
      </c>
      <c r="P35" s="41">
        <f t="shared" si="2"/>
        <v>1477.75</v>
      </c>
      <c r="Q35" s="41">
        <f t="shared" si="2"/>
        <v>3000</v>
      </c>
      <c r="R35" s="40">
        <f t="shared" si="1"/>
        <v>-101728746.72</v>
      </c>
    </row>
    <row r="36" spans="2:18" x14ac:dyDescent="0.35">
      <c r="B36" s="9">
        <v>31</v>
      </c>
      <c r="C36" s="12">
        <v>46331</v>
      </c>
      <c r="D36" s="2" t="s">
        <v>126</v>
      </c>
      <c r="E36" s="8" t="s">
        <v>133</v>
      </c>
      <c r="J36" s="1">
        <v>20000</v>
      </c>
      <c r="N36" s="41">
        <f t="shared" si="2"/>
        <v>-101724490.47</v>
      </c>
      <c r="O36" s="41">
        <f t="shared" si="2"/>
        <v>-28734</v>
      </c>
      <c r="P36" s="41">
        <f t="shared" si="2"/>
        <v>1477.75</v>
      </c>
      <c r="Q36" s="41">
        <f t="shared" si="2"/>
        <v>3000</v>
      </c>
      <c r="R36" s="40">
        <f t="shared" si="1"/>
        <v>-101748746.72</v>
      </c>
    </row>
    <row r="37" spans="2:18" x14ac:dyDescent="0.35">
      <c r="B37" s="9">
        <v>32</v>
      </c>
      <c r="C37" s="12">
        <v>46331</v>
      </c>
      <c r="D37" s="2" t="s">
        <v>127</v>
      </c>
      <c r="E37" s="8" t="s">
        <v>134</v>
      </c>
      <c r="J37" s="1">
        <v>21000</v>
      </c>
      <c r="N37" s="41">
        <f t="shared" si="2"/>
        <v>-101745490.47</v>
      </c>
      <c r="O37" s="41">
        <f t="shared" si="2"/>
        <v>-28734</v>
      </c>
      <c r="P37" s="41">
        <f t="shared" si="2"/>
        <v>1477.75</v>
      </c>
      <c r="Q37" s="41">
        <f t="shared" si="2"/>
        <v>3000</v>
      </c>
      <c r="R37" s="40">
        <f t="shared" si="1"/>
        <v>-101769746.72</v>
      </c>
    </row>
    <row r="38" spans="2:18" x14ac:dyDescent="0.35">
      <c r="B38" s="9">
        <v>33</v>
      </c>
      <c r="C38" s="12">
        <v>46331</v>
      </c>
      <c r="D38" s="2" t="s">
        <v>128</v>
      </c>
      <c r="E38" s="8" t="s">
        <v>135</v>
      </c>
      <c r="J38" s="1">
        <v>561600</v>
      </c>
      <c r="N38" s="41">
        <f t="shared" si="2"/>
        <v>-102307090.47</v>
      </c>
      <c r="O38" s="41">
        <f t="shared" si="2"/>
        <v>-28734</v>
      </c>
      <c r="P38" s="41">
        <f t="shared" si="2"/>
        <v>1477.75</v>
      </c>
      <c r="Q38" s="41">
        <f t="shared" si="2"/>
        <v>3000</v>
      </c>
      <c r="R38" s="40">
        <f t="shared" si="1"/>
        <v>-102331346.72</v>
      </c>
    </row>
    <row r="39" spans="2:18" x14ac:dyDescent="0.35">
      <c r="B39" s="9">
        <v>34</v>
      </c>
      <c r="C39" s="12">
        <v>46331</v>
      </c>
      <c r="D39" s="2" t="s">
        <v>129</v>
      </c>
      <c r="E39" s="8" t="s">
        <v>136</v>
      </c>
      <c r="J39" s="1">
        <v>1662500</v>
      </c>
      <c r="N39" s="41">
        <f t="shared" si="2"/>
        <v>-103969590.47</v>
      </c>
      <c r="O39" s="41">
        <f t="shared" si="2"/>
        <v>-28734</v>
      </c>
      <c r="P39" s="41">
        <f t="shared" si="2"/>
        <v>1477.75</v>
      </c>
      <c r="Q39" s="41">
        <f t="shared" si="2"/>
        <v>3000</v>
      </c>
      <c r="R39" s="40">
        <f t="shared" si="1"/>
        <v>-103993846.72</v>
      </c>
    </row>
    <row r="40" spans="2:18" x14ac:dyDescent="0.35">
      <c r="B40" s="9">
        <v>35</v>
      </c>
      <c r="C40" s="12">
        <v>46331</v>
      </c>
      <c r="D40" s="2" t="s">
        <v>130</v>
      </c>
      <c r="E40" s="8" t="s">
        <v>137</v>
      </c>
      <c r="J40" s="1">
        <v>10000</v>
      </c>
      <c r="N40" s="41">
        <f t="shared" si="2"/>
        <v>-103979590.47</v>
      </c>
      <c r="O40" s="41">
        <f t="shared" si="2"/>
        <v>-28734</v>
      </c>
      <c r="P40" s="41">
        <f t="shared" si="2"/>
        <v>1477.75</v>
      </c>
      <c r="Q40" s="41">
        <f t="shared" si="2"/>
        <v>3000</v>
      </c>
      <c r="R40" s="40">
        <f t="shared" si="1"/>
        <v>-104003846.72</v>
      </c>
    </row>
    <row r="41" spans="2:18" x14ac:dyDescent="0.35">
      <c r="B41" s="9">
        <v>36</v>
      </c>
      <c r="C41" s="12">
        <v>46331</v>
      </c>
      <c r="D41" s="2" t="s">
        <v>131</v>
      </c>
      <c r="E41" s="8" t="s">
        <v>138</v>
      </c>
      <c r="F41" s="7">
        <v>10000000</v>
      </c>
      <c r="N41" s="41">
        <f t="shared" si="2"/>
        <v>-93979590.469999999</v>
      </c>
      <c r="O41" s="41">
        <f t="shared" si="2"/>
        <v>-28734</v>
      </c>
      <c r="P41" s="41">
        <f t="shared" si="2"/>
        <v>1477.75</v>
      </c>
      <c r="Q41" s="41">
        <f t="shared" si="2"/>
        <v>3000</v>
      </c>
      <c r="R41" s="40">
        <f t="shared" si="1"/>
        <v>-94003846.719999999</v>
      </c>
    </row>
    <row r="42" spans="2:18" x14ac:dyDescent="0.35">
      <c r="B42" s="9">
        <v>37</v>
      </c>
      <c r="C42" s="12">
        <v>46331</v>
      </c>
      <c r="D42" s="2" t="s">
        <v>139</v>
      </c>
      <c r="E42" s="8" t="s">
        <v>145</v>
      </c>
      <c r="J42" s="1">
        <v>10000</v>
      </c>
      <c r="N42" s="41">
        <f t="shared" si="2"/>
        <v>-93989590.469999999</v>
      </c>
      <c r="O42" s="41">
        <f t="shared" si="2"/>
        <v>-28734</v>
      </c>
      <c r="P42" s="41">
        <f t="shared" si="2"/>
        <v>1477.75</v>
      </c>
      <c r="Q42" s="41">
        <f t="shared" si="2"/>
        <v>3000</v>
      </c>
      <c r="R42" s="40">
        <f t="shared" si="1"/>
        <v>-94013846.719999999</v>
      </c>
    </row>
    <row r="43" spans="2:18" x14ac:dyDescent="0.35">
      <c r="B43" s="9">
        <v>38</v>
      </c>
      <c r="C43" s="12">
        <v>46361</v>
      </c>
      <c r="D43" s="2" t="s">
        <v>140</v>
      </c>
      <c r="E43" s="8" t="s">
        <v>91</v>
      </c>
      <c r="I43" s="7">
        <v>20000</v>
      </c>
      <c r="K43" s="1">
        <v>20000</v>
      </c>
      <c r="N43" s="41">
        <f t="shared" si="2"/>
        <v>-93989590.469999999</v>
      </c>
      <c r="O43" s="41">
        <f t="shared" si="2"/>
        <v>-48734</v>
      </c>
      <c r="P43" s="41">
        <f t="shared" si="2"/>
        <v>1477.75</v>
      </c>
      <c r="Q43" s="41">
        <f t="shared" si="2"/>
        <v>23000</v>
      </c>
      <c r="R43" s="40">
        <f t="shared" si="1"/>
        <v>-94013846.719999999</v>
      </c>
    </row>
    <row r="44" spans="2:18" x14ac:dyDescent="0.35">
      <c r="B44" s="9">
        <v>39</v>
      </c>
      <c r="C44" s="12">
        <v>46361</v>
      </c>
      <c r="D44" s="2" t="s">
        <v>141</v>
      </c>
      <c r="E44" s="8" t="s">
        <v>146</v>
      </c>
      <c r="F44" s="7">
        <v>10000000</v>
      </c>
      <c r="N44" s="41">
        <f t="shared" si="2"/>
        <v>-83989590.469999999</v>
      </c>
      <c r="O44" s="41">
        <f t="shared" si="2"/>
        <v>-48734</v>
      </c>
      <c r="P44" s="41">
        <f t="shared" si="2"/>
        <v>1477.75</v>
      </c>
      <c r="Q44" s="41">
        <f t="shared" si="2"/>
        <v>23000</v>
      </c>
      <c r="R44" s="40">
        <f t="shared" si="1"/>
        <v>-84013846.719999999</v>
      </c>
    </row>
    <row r="45" spans="2:18" x14ac:dyDescent="0.35">
      <c r="B45" s="9">
        <v>40</v>
      </c>
      <c r="C45" s="12">
        <v>46361</v>
      </c>
      <c r="D45" s="2" t="s">
        <v>142</v>
      </c>
      <c r="E45" s="8" t="s">
        <v>147</v>
      </c>
      <c r="J45" s="1">
        <v>86400</v>
      </c>
      <c r="N45" s="41">
        <f t="shared" si="2"/>
        <v>-84075990.469999999</v>
      </c>
      <c r="O45" s="41">
        <f t="shared" si="2"/>
        <v>-48734</v>
      </c>
      <c r="P45" s="41">
        <f t="shared" si="2"/>
        <v>1477.75</v>
      </c>
      <c r="Q45" s="41">
        <f t="shared" si="2"/>
        <v>23000</v>
      </c>
      <c r="R45" s="40">
        <f t="shared" si="1"/>
        <v>-84100246.719999999</v>
      </c>
    </row>
    <row r="46" spans="2:18" x14ac:dyDescent="0.35">
      <c r="B46" s="9">
        <v>41</v>
      </c>
      <c r="C46" s="12">
        <v>46361</v>
      </c>
      <c r="D46" s="2" t="s">
        <v>143</v>
      </c>
      <c r="E46" s="8" t="s">
        <v>148</v>
      </c>
      <c r="J46" s="1">
        <v>599000</v>
      </c>
      <c r="N46" s="41">
        <f t="shared" si="2"/>
        <v>-84674990.469999999</v>
      </c>
      <c r="O46" s="41">
        <f t="shared" si="2"/>
        <v>-48734</v>
      </c>
      <c r="P46" s="41">
        <f t="shared" si="2"/>
        <v>1477.75</v>
      </c>
      <c r="Q46" s="41">
        <f t="shared" si="2"/>
        <v>23000</v>
      </c>
      <c r="R46" s="40">
        <f t="shared" si="1"/>
        <v>-84699246.719999999</v>
      </c>
    </row>
    <row r="47" spans="2:18" x14ac:dyDescent="0.35">
      <c r="B47" s="9">
        <v>42</v>
      </c>
      <c r="C47" s="12">
        <v>46361</v>
      </c>
      <c r="D47" s="2" t="s">
        <v>144</v>
      </c>
      <c r="E47" s="8" t="s">
        <v>149</v>
      </c>
      <c r="M47" s="1">
        <v>2000</v>
      </c>
      <c r="N47" s="41">
        <f t="shared" si="2"/>
        <v>-84674990.469999999</v>
      </c>
      <c r="O47" s="41">
        <f t="shared" si="2"/>
        <v>-48734</v>
      </c>
      <c r="P47" s="41">
        <f t="shared" si="2"/>
        <v>1477.75</v>
      </c>
      <c r="Q47" s="41">
        <f t="shared" si="2"/>
        <v>21000</v>
      </c>
      <c r="R47" s="40">
        <f t="shared" si="1"/>
        <v>-84701246.719999999</v>
      </c>
    </row>
    <row r="48" spans="2:18" x14ac:dyDescent="0.35">
      <c r="B48" s="9">
        <v>43</v>
      </c>
      <c r="C48" s="12">
        <v>46208</v>
      </c>
      <c r="D48" s="2" t="s">
        <v>150</v>
      </c>
      <c r="E48" s="8" t="s">
        <v>151</v>
      </c>
      <c r="F48" s="7">
        <v>24000000</v>
      </c>
      <c r="J48" s="1">
        <v>64433</v>
      </c>
      <c r="N48" s="41">
        <f t="shared" si="2"/>
        <v>-60739423.469999999</v>
      </c>
      <c r="O48" s="41">
        <f t="shared" si="2"/>
        <v>-48734</v>
      </c>
      <c r="P48" s="41">
        <f t="shared" si="2"/>
        <v>1477.75</v>
      </c>
      <c r="Q48" s="41">
        <f t="shared" si="2"/>
        <v>21000</v>
      </c>
      <c r="R48" s="40">
        <f t="shared" si="1"/>
        <v>-60765679.719999999</v>
      </c>
    </row>
    <row r="49" spans="1:21" x14ac:dyDescent="0.35">
      <c r="B49" s="9">
        <v>44</v>
      </c>
      <c r="C49" s="12">
        <v>46361</v>
      </c>
      <c r="D49" s="2" t="s">
        <v>153</v>
      </c>
      <c r="E49" s="8" t="s">
        <v>164</v>
      </c>
      <c r="J49" s="1">
        <v>31200</v>
      </c>
      <c r="N49" s="41">
        <f t="shared" ref="N49:Q54" si="3">SUM(N48+F49-J49)</f>
        <v>-60770623.469999999</v>
      </c>
      <c r="O49" s="41">
        <f t="shared" si="3"/>
        <v>-48734</v>
      </c>
      <c r="P49" s="41">
        <f t="shared" si="3"/>
        <v>1477.75</v>
      </c>
      <c r="Q49" s="41">
        <f t="shared" si="3"/>
        <v>21000</v>
      </c>
      <c r="R49" s="40">
        <f t="shared" si="1"/>
        <v>-60796879.719999999</v>
      </c>
    </row>
    <row r="50" spans="1:21" x14ac:dyDescent="0.35">
      <c r="B50" s="9">
        <v>45</v>
      </c>
      <c r="C50" s="12" t="s">
        <v>163</v>
      </c>
      <c r="D50" s="2" t="s">
        <v>154</v>
      </c>
      <c r="E50" s="8" t="s">
        <v>165</v>
      </c>
      <c r="J50" s="1">
        <v>2700000</v>
      </c>
      <c r="N50" s="41">
        <f t="shared" si="3"/>
        <v>-63470623.469999999</v>
      </c>
      <c r="O50" s="41">
        <f t="shared" si="3"/>
        <v>-48734</v>
      </c>
      <c r="P50" s="41">
        <f t="shared" si="3"/>
        <v>1477.75</v>
      </c>
      <c r="Q50" s="41">
        <f t="shared" si="3"/>
        <v>21000</v>
      </c>
      <c r="R50" s="40">
        <f t="shared" si="1"/>
        <v>-63496879.719999999</v>
      </c>
    </row>
    <row r="51" spans="1:21" x14ac:dyDescent="0.35">
      <c r="B51" s="9">
        <v>46</v>
      </c>
      <c r="C51" s="12" t="s">
        <v>163</v>
      </c>
      <c r="D51" s="2" t="s">
        <v>155</v>
      </c>
      <c r="E51" s="8" t="s">
        <v>166</v>
      </c>
      <c r="J51" s="1">
        <v>570000</v>
      </c>
      <c r="N51" s="41">
        <f t="shared" si="3"/>
        <v>-64040623.469999999</v>
      </c>
      <c r="O51" s="41">
        <f t="shared" si="3"/>
        <v>-48734</v>
      </c>
      <c r="P51" s="41">
        <f t="shared" si="3"/>
        <v>1477.75</v>
      </c>
      <c r="Q51" s="41">
        <f t="shared" si="3"/>
        <v>21000</v>
      </c>
      <c r="R51" s="40">
        <f t="shared" si="1"/>
        <v>-64066879.719999999</v>
      </c>
    </row>
    <row r="52" spans="1:21" x14ac:dyDescent="0.35">
      <c r="B52" s="9">
        <v>47</v>
      </c>
      <c r="C52" s="12" t="s">
        <v>163</v>
      </c>
      <c r="D52" s="2" t="s">
        <v>156</v>
      </c>
      <c r="E52" s="8" t="s">
        <v>167</v>
      </c>
      <c r="J52" s="1">
        <v>1840000</v>
      </c>
      <c r="N52" s="41">
        <f t="shared" si="3"/>
        <v>-65880623.469999999</v>
      </c>
      <c r="O52" s="41">
        <f t="shared" si="3"/>
        <v>-48734</v>
      </c>
      <c r="P52" s="41">
        <f t="shared" si="3"/>
        <v>1477.75</v>
      </c>
      <c r="Q52" s="41">
        <f t="shared" si="3"/>
        <v>21000</v>
      </c>
      <c r="R52" s="40">
        <f t="shared" si="1"/>
        <v>-65906879.719999999</v>
      </c>
    </row>
    <row r="53" spans="1:21" x14ac:dyDescent="0.35">
      <c r="B53" s="9">
        <v>48</v>
      </c>
      <c r="C53" s="12" t="s">
        <v>163</v>
      </c>
      <c r="D53" s="2" t="s">
        <v>157</v>
      </c>
      <c r="E53" s="8" t="s">
        <v>168</v>
      </c>
      <c r="F53" s="7">
        <v>5000000</v>
      </c>
      <c r="N53" s="41">
        <f t="shared" si="3"/>
        <v>-60880623.469999999</v>
      </c>
      <c r="O53" s="41">
        <f t="shared" si="3"/>
        <v>-48734</v>
      </c>
      <c r="P53" s="41">
        <f t="shared" si="3"/>
        <v>1477.75</v>
      </c>
      <c r="Q53" s="41">
        <f t="shared" si="3"/>
        <v>21000</v>
      </c>
      <c r="R53" s="40">
        <f t="shared" si="1"/>
        <v>-60906879.719999999</v>
      </c>
    </row>
    <row r="54" spans="1:21" x14ac:dyDescent="0.35">
      <c r="B54" s="9">
        <v>49</v>
      </c>
      <c r="C54" s="12" t="s">
        <v>163</v>
      </c>
      <c r="D54" s="2" t="s">
        <v>158</v>
      </c>
      <c r="E54" s="8" t="s">
        <v>169</v>
      </c>
      <c r="K54" s="1">
        <v>20000</v>
      </c>
      <c r="N54" s="41">
        <f t="shared" si="3"/>
        <v>-60880623.469999999</v>
      </c>
      <c r="O54" s="41">
        <f t="shared" si="3"/>
        <v>-68734</v>
      </c>
      <c r="P54" s="41">
        <f t="shared" si="3"/>
        <v>1477.75</v>
      </c>
      <c r="Q54" s="41">
        <f t="shared" si="3"/>
        <v>21000</v>
      </c>
      <c r="R54" s="40">
        <f t="shared" si="1"/>
        <v>-60926879.719999999</v>
      </c>
    </row>
    <row r="55" spans="1:21" x14ac:dyDescent="0.35">
      <c r="B55" s="9">
        <v>50</v>
      </c>
      <c r="D55" s="2" t="s">
        <v>159</v>
      </c>
    </row>
    <row r="56" spans="1:21" x14ac:dyDescent="0.35">
      <c r="B56" s="9">
        <v>51</v>
      </c>
      <c r="D56" s="2" t="s">
        <v>160</v>
      </c>
    </row>
    <row r="57" spans="1:21" x14ac:dyDescent="0.35">
      <c r="B57" s="9">
        <v>52</v>
      </c>
      <c r="D57" s="2" t="s">
        <v>161</v>
      </c>
    </row>
    <row r="58" spans="1:21" x14ac:dyDescent="0.35">
      <c r="B58" s="9">
        <v>53</v>
      </c>
      <c r="D58" s="2" t="s">
        <v>162</v>
      </c>
    </row>
    <row r="61" spans="1:21" s="60" customFormat="1" x14ac:dyDescent="0.35">
      <c r="A61" s="53"/>
      <c r="B61" s="53"/>
      <c r="C61" s="51"/>
      <c r="D61" s="2"/>
      <c r="E61" s="58" t="s">
        <v>8</v>
      </c>
      <c r="F61" s="59">
        <f>SUM(F5:F9)</f>
        <v>50000</v>
      </c>
      <c r="G61" s="59">
        <f>SUM(G5:G60)</f>
        <v>5666</v>
      </c>
      <c r="H61" s="59">
        <f t="shared" ref="H61:K61" si="4">SUM(H5:H60)</f>
        <v>1477.75</v>
      </c>
      <c r="I61" s="59">
        <f t="shared" si="4"/>
        <v>37800</v>
      </c>
      <c r="J61" s="59">
        <f t="shared" si="4"/>
        <v>109948623.47</v>
      </c>
      <c r="K61" s="59">
        <f t="shared" si="4"/>
        <v>74400</v>
      </c>
      <c r="L61" s="59">
        <f>SUM(L5:L60)</f>
        <v>0</v>
      </c>
      <c r="M61" s="59">
        <f t="shared" ref="M61" si="5">SUM(M5:M60)</f>
        <v>16800</v>
      </c>
      <c r="N61" s="41"/>
      <c r="O61" s="41"/>
      <c r="P61" s="41"/>
      <c r="Q61" s="41"/>
      <c r="R61" s="40"/>
      <c r="U61" s="61"/>
    </row>
  </sheetData>
  <mergeCells count="5">
    <mergeCell ref="J3:M3"/>
    <mergeCell ref="N3:R3"/>
    <mergeCell ref="F3:I3"/>
    <mergeCell ref="A1:I1"/>
    <mergeCell ref="A2:I2"/>
  </mergeCells>
  <phoneticPr fontId="7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C9DF0-824C-4E19-AA6D-9DB3BCC33281}">
  <dimension ref="A1:Z169"/>
  <sheetViews>
    <sheetView tabSelected="1" zoomScale="90" zoomScaleNormal="90" workbookViewId="0">
      <pane xSplit="4" ySplit="3" topLeftCell="E64" activePane="bottomRight" state="frozen"/>
      <selection pane="topRight" activeCell="E1" sqref="E1"/>
      <selection pane="bottomLeft" activeCell="A4" sqref="A4"/>
      <selection pane="bottomRight" activeCell="H20" sqref="H20"/>
    </sheetView>
  </sheetViews>
  <sheetFormatPr defaultColWidth="9.1796875" defaultRowHeight="15.5" x14ac:dyDescent="0.35"/>
  <cols>
    <col min="1" max="1" width="6" style="9" customWidth="1"/>
    <col min="2" max="2" width="9.81640625" style="12" customWidth="1"/>
    <col min="3" max="3" width="13.54296875" style="2" customWidth="1"/>
    <col min="4" max="4" width="63.54296875" style="8" customWidth="1"/>
    <col min="5" max="5" width="24.1796875" style="1" customWidth="1"/>
    <col min="6" max="6" width="22.81640625" style="1" customWidth="1"/>
    <col min="7" max="7" width="15.81640625" style="1" customWidth="1"/>
    <col min="8" max="8" width="16.54296875" style="1" customWidth="1"/>
    <col min="9" max="9" width="16.1796875" style="7" customWidth="1"/>
    <col min="10" max="10" width="14.7265625" style="1" customWidth="1"/>
    <col min="11" max="11" width="13.81640625" style="1" customWidth="1"/>
    <col min="12" max="12" width="13.7265625" style="1" customWidth="1"/>
    <col min="13" max="13" width="15" style="1" customWidth="1"/>
    <col min="14" max="14" width="18.453125" style="7" customWidth="1"/>
    <col min="15" max="15" width="17.453125" style="1" customWidth="1"/>
    <col min="16" max="16" width="13.26953125" style="1" customWidth="1"/>
    <col min="17" max="17" width="13.81640625" style="1" customWidth="1"/>
    <col min="18" max="18" width="14" style="1" bestFit="1" customWidth="1"/>
    <col min="19" max="20" width="15.1796875" style="1" customWidth="1"/>
    <col min="21" max="21" width="13.54296875" style="1" customWidth="1"/>
    <col min="22" max="22" width="13" style="1" customWidth="1"/>
    <col min="23" max="23" width="14.81640625" style="1" customWidth="1"/>
    <col min="24" max="24" width="11.26953125" style="1" customWidth="1"/>
    <col min="25" max="25" width="11.7265625" style="1" customWidth="1"/>
    <col min="26" max="26" width="13.7265625" style="1" customWidth="1"/>
    <col min="27" max="16384" width="9.1796875" style="8"/>
  </cols>
  <sheetData>
    <row r="1" spans="1:26" x14ac:dyDescent="0.35">
      <c r="A1" s="79" t="s">
        <v>0</v>
      </c>
      <c r="B1" s="79"/>
      <c r="C1" s="79"/>
      <c r="D1" s="79"/>
      <c r="E1" s="79"/>
      <c r="F1" s="79"/>
      <c r="G1" s="79"/>
      <c r="H1" s="79"/>
      <c r="I1" s="79"/>
      <c r="J1" s="79"/>
    </row>
    <row r="2" spans="1:26" x14ac:dyDescent="0.35">
      <c r="A2" s="79" t="s">
        <v>61</v>
      </c>
      <c r="B2" s="79"/>
      <c r="C2" s="79"/>
      <c r="D2" s="79"/>
      <c r="E2" s="79"/>
      <c r="F2" s="79"/>
      <c r="G2" s="79"/>
      <c r="H2" s="79"/>
      <c r="I2" s="79"/>
      <c r="J2" s="79"/>
    </row>
    <row r="3" spans="1:26" s="5" customFormat="1" ht="15" x14ac:dyDescent="0.3">
      <c r="A3" s="5" t="s">
        <v>1</v>
      </c>
      <c r="B3" s="13" t="s">
        <v>2</v>
      </c>
      <c r="C3" s="5" t="s">
        <v>7</v>
      </c>
      <c r="D3" s="5" t="s">
        <v>3</v>
      </c>
      <c r="E3" s="6" t="s">
        <v>15</v>
      </c>
      <c r="F3" s="6" t="s">
        <v>17</v>
      </c>
      <c r="G3" s="6" t="s">
        <v>12</v>
      </c>
      <c r="H3" s="6" t="s">
        <v>24</v>
      </c>
      <c r="I3" s="11" t="s">
        <v>13</v>
      </c>
      <c r="J3" s="6" t="s">
        <v>10</v>
      </c>
      <c r="K3" s="6" t="s">
        <v>11</v>
      </c>
      <c r="L3" s="6" t="s">
        <v>14</v>
      </c>
      <c r="M3" s="6" t="s">
        <v>20</v>
      </c>
      <c r="N3" s="11" t="s">
        <v>45</v>
      </c>
      <c r="O3" s="6" t="s">
        <v>56</v>
      </c>
      <c r="P3" s="6" t="s">
        <v>16</v>
      </c>
      <c r="Q3" s="6" t="s">
        <v>18</v>
      </c>
      <c r="R3" s="6" t="s">
        <v>25</v>
      </c>
      <c r="S3" s="6" t="s">
        <v>19</v>
      </c>
      <c r="T3" s="6" t="s">
        <v>51</v>
      </c>
      <c r="U3" s="6" t="s">
        <v>22</v>
      </c>
      <c r="V3" s="6" t="s">
        <v>23</v>
      </c>
      <c r="W3" s="6" t="s">
        <v>39</v>
      </c>
      <c r="X3" s="6" t="s">
        <v>26</v>
      </c>
      <c r="Y3" s="6" t="s">
        <v>27</v>
      </c>
      <c r="Z3" s="6" t="s">
        <v>59</v>
      </c>
    </row>
    <row r="4" spans="1:26" s="5" customFormat="1" x14ac:dyDescent="0.35">
      <c r="A4" s="9">
        <v>1</v>
      </c>
      <c r="B4" s="12">
        <v>46117</v>
      </c>
      <c r="C4" s="2" t="s">
        <v>63</v>
      </c>
      <c r="D4" s="10" t="s">
        <v>75</v>
      </c>
      <c r="E4" s="6">
        <v>8300</v>
      </c>
      <c r="F4" s="6"/>
      <c r="G4" s="6"/>
      <c r="H4" s="6"/>
      <c r="I4" s="11"/>
      <c r="J4" s="6"/>
      <c r="K4" s="6"/>
      <c r="L4" s="6"/>
      <c r="M4" s="6"/>
      <c r="N4" s="11"/>
      <c r="O4" s="6"/>
      <c r="P4" s="6"/>
      <c r="Q4" s="6"/>
      <c r="R4" s="6"/>
      <c r="S4" s="15"/>
      <c r="T4" s="15"/>
      <c r="U4" s="6"/>
      <c r="V4" s="6"/>
      <c r="W4" s="6"/>
      <c r="X4" s="6"/>
      <c r="Y4" s="6"/>
      <c r="Z4" s="6"/>
    </row>
    <row r="5" spans="1:26" s="5" customFormat="1" x14ac:dyDescent="0.35">
      <c r="A5" s="9">
        <v>2</v>
      </c>
      <c r="B5" s="12">
        <v>46117</v>
      </c>
      <c r="C5" s="2" t="s">
        <v>64</v>
      </c>
      <c r="D5" s="10" t="s">
        <v>76</v>
      </c>
      <c r="E5" s="6"/>
      <c r="F5" s="6"/>
      <c r="G5" s="6"/>
      <c r="H5" s="6"/>
      <c r="I5" s="11"/>
      <c r="J5" s="6"/>
      <c r="K5" s="6"/>
      <c r="L5" s="6"/>
      <c r="M5" s="6"/>
      <c r="N5" s="11"/>
      <c r="O5" s="6"/>
      <c r="P5" s="6"/>
      <c r="Q5" s="6"/>
      <c r="R5" s="6"/>
      <c r="S5" s="15">
        <v>10000</v>
      </c>
      <c r="T5" s="15"/>
      <c r="U5" s="6"/>
      <c r="V5" s="6"/>
      <c r="W5" s="6"/>
      <c r="X5" s="6"/>
      <c r="Y5" s="6"/>
      <c r="Z5" s="6"/>
    </row>
    <row r="6" spans="1:26" s="5" customFormat="1" x14ac:dyDescent="0.35">
      <c r="A6" s="9">
        <v>3</v>
      </c>
      <c r="B6" s="12">
        <v>46117</v>
      </c>
      <c r="C6" s="2" t="s">
        <v>65</v>
      </c>
      <c r="D6" s="8" t="s">
        <v>77</v>
      </c>
      <c r="E6" s="6"/>
      <c r="F6" s="6"/>
      <c r="G6" s="6">
        <v>57888</v>
      </c>
      <c r="H6" s="6"/>
      <c r="I6" s="11"/>
      <c r="J6" s="6"/>
      <c r="K6" s="6"/>
      <c r="L6" s="6"/>
      <c r="M6" s="6"/>
      <c r="N6" s="11"/>
      <c r="O6" s="6"/>
      <c r="P6" s="6"/>
      <c r="Q6" s="6"/>
      <c r="R6" s="6"/>
      <c r="S6" s="15"/>
      <c r="T6" s="15"/>
      <c r="U6" s="6"/>
      <c r="V6" s="6"/>
      <c r="W6" s="6"/>
      <c r="X6" s="6"/>
      <c r="Y6" s="6"/>
      <c r="Z6" s="6"/>
    </row>
    <row r="7" spans="1:26" s="5" customFormat="1" x14ac:dyDescent="0.35">
      <c r="A7" s="9">
        <v>4</v>
      </c>
      <c r="B7" s="12">
        <v>46086</v>
      </c>
      <c r="C7" s="2" t="s">
        <v>66</v>
      </c>
      <c r="D7" s="8" t="s">
        <v>78</v>
      </c>
      <c r="E7" s="6"/>
      <c r="F7" s="6"/>
      <c r="G7" s="6">
        <v>45665</v>
      </c>
      <c r="H7" s="6"/>
      <c r="I7" s="11"/>
      <c r="J7" s="6"/>
      <c r="K7" s="6"/>
      <c r="L7" s="6"/>
      <c r="M7" s="6"/>
      <c r="N7" s="11"/>
      <c r="O7" s="6"/>
      <c r="P7" s="6"/>
      <c r="Q7" s="6"/>
      <c r="R7" s="6"/>
      <c r="S7" s="15"/>
      <c r="T7" s="15"/>
      <c r="U7" s="6"/>
      <c r="V7" s="6"/>
      <c r="W7" s="6"/>
      <c r="X7" s="6"/>
      <c r="Y7" s="6"/>
      <c r="Z7" s="6"/>
    </row>
    <row r="8" spans="1:26" s="5" customFormat="1" x14ac:dyDescent="0.35">
      <c r="A8" s="9">
        <v>5</v>
      </c>
      <c r="B8" s="12">
        <v>46117</v>
      </c>
      <c r="C8" s="2" t="s">
        <v>67</v>
      </c>
      <c r="D8" s="8" t="s">
        <v>79</v>
      </c>
      <c r="E8" s="6"/>
      <c r="F8" s="6"/>
      <c r="G8" s="6"/>
      <c r="H8" s="6"/>
      <c r="I8" s="11"/>
      <c r="J8" s="6"/>
      <c r="K8" s="6"/>
      <c r="L8" s="6"/>
      <c r="M8" s="6"/>
      <c r="N8" s="11"/>
      <c r="O8" s="6"/>
      <c r="P8" s="6"/>
      <c r="Q8" s="6"/>
      <c r="R8" s="6"/>
      <c r="S8" s="15"/>
      <c r="T8" s="15"/>
      <c r="U8" s="6"/>
      <c r="V8" s="6"/>
      <c r="W8" s="6">
        <v>10000</v>
      </c>
      <c r="X8" s="6"/>
      <c r="Y8" s="6"/>
      <c r="Z8" s="6"/>
    </row>
    <row r="9" spans="1:26" s="5" customFormat="1" x14ac:dyDescent="0.35">
      <c r="A9" s="9">
        <v>6</v>
      </c>
      <c r="B9" s="12">
        <v>46117</v>
      </c>
      <c r="C9" s="2" t="s">
        <v>68</v>
      </c>
      <c r="D9" s="8" t="s">
        <v>80</v>
      </c>
      <c r="E9" s="6">
        <v>2000</v>
      </c>
      <c r="F9" s="6"/>
      <c r="G9" s="6"/>
      <c r="H9" s="6"/>
      <c r="I9" s="11"/>
      <c r="J9" s="6"/>
      <c r="K9" s="6"/>
      <c r="L9" s="6"/>
      <c r="M9" s="6"/>
      <c r="N9" s="11"/>
      <c r="O9" s="6"/>
      <c r="P9" s="6"/>
      <c r="Q9" s="6"/>
      <c r="R9" s="6"/>
      <c r="S9" s="15"/>
      <c r="T9" s="15"/>
      <c r="U9" s="6"/>
      <c r="V9" s="6"/>
      <c r="W9" s="6"/>
      <c r="X9" s="6"/>
      <c r="Y9" s="6"/>
      <c r="Z9" s="6"/>
    </row>
    <row r="10" spans="1:26" s="5" customFormat="1" x14ac:dyDescent="0.35">
      <c r="A10" s="9">
        <v>7</v>
      </c>
      <c r="B10" s="12">
        <v>46117</v>
      </c>
      <c r="C10" s="2" t="s">
        <v>69</v>
      </c>
      <c r="D10" s="8" t="s">
        <v>81</v>
      </c>
      <c r="E10" s="6">
        <v>500</v>
      </c>
      <c r="F10" s="6"/>
      <c r="G10" s="6"/>
      <c r="H10" s="6"/>
      <c r="I10" s="11"/>
      <c r="J10" s="6"/>
      <c r="K10" s="6"/>
      <c r="L10" s="6"/>
      <c r="M10" s="6"/>
      <c r="N10" s="11"/>
      <c r="O10" s="6"/>
      <c r="P10" s="6"/>
      <c r="Q10" s="6"/>
      <c r="R10" s="6"/>
      <c r="S10" s="15"/>
      <c r="T10" s="15"/>
      <c r="U10" s="6"/>
      <c r="V10" s="6"/>
      <c r="W10" s="6"/>
      <c r="X10" s="6"/>
      <c r="Y10" s="6"/>
      <c r="Z10" s="6"/>
    </row>
    <row r="11" spans="1:26" s="5" customFormat="1" x14ac:dyDescent="0.35">
      <c r="A11" s="9">
        <v>8</v>
      </c>
      <c r="B11" s="12" t="s">
        <v>83</v>
      </c>
      <c r="C11" s="2" t="s">
        <v>70</v>
      </c>
      <c r="D11" s="8" t="s">
        <v>82</v>
      </c>
      <c r="E11" s="6">
        <v>3500</v>
      </c>
      <c r="F11" s="6"/>
      <c r="G11" s="6"/>
      <c r="H11" s="6"/>
      <c r="I11" s="11"/>
      <c r="J11" s="6"/>
      <c r="K11" s="6"/>
      <c r="L11" s="6"/>
      <c r="M11" s="6"/>
      <c r="N11" s="11"/>
      <c r="O11" s="6"/>
      <c r="P11" s="6"/>
      <c r="Q11" s="6"/>
      <c r="R11" s="6"/>
      <c r="S11" s="15"/>
      <c r="T11" s="15"/>
      <c r="U11" s="6"/>
      <c r="V11" s="6"/>
      <c r="W11" s="6"/>
      <c r="X11" s="6"/>
      <c r="Y11" s="6"/>
      <c r="Z11" s="6"/>
    </row>
    <row r="12" spans="1:26" s="5" customFormat="1" x14ac:dyDescent="0.35">
      <c r="A12" s="9">
        <v>9</v>
      </c>
      <c r="B12" s="12" t="s">
        <v>83</v>
      </c>
      <c r="C12" s="2" t="s">
        <v>71</v>
      </c>
      <c r="D12" s="8" t="s">
        <v>84</v>
      </c>
      <c r="E12" s="1"/>
      <c r="F12" s="1"/>
      <c r="G12" s="6"/>
      <c r="H12" s="6"/>
      <c r="I12" s="11"/>
      <c r="J12" s="6"/>
      <c r="K12" s="6"/>
      <c r="L12" s="6"/>
      <c r="M12" s="6"/>
      <c r="N12" s="11"/>
      <c r="O12" s="6">
        <v>5990000</v>
      </c>
      <c r="P12" s="6"/>
      <c r="Q12" s="6"/>
      <c r="R12" s="6"/>
      <c r="S12" s="4"/>
      <c r="T12" s="4"/>
      <c r="U12" s="6"/>
      <c r="V12" s="6"/>
      <c r="W12" s="6"/>
      <c r="X12" s="6"/>
      <c r="Y12" s="6"/>
      <c r="Z12" s="6"/>
    </row>
    <row r="13" spans="1:26" s="5" customFormat="1" x14ac:dyDescent="0.35">
      <c r="A13" s="9">
        <v>10</v>
      </c>
      <c r="B13" s="12" t="s">
        <v>83</v>
      </c>
      <c r="C13" s="2" t="s">
        <v>72</v>
      </c>
      <c r="D13" s="8" t="s">
        <v>85</v>
      </c>
      <c r="E13" s="1"/>
      <c r="F13" s="6"/>
      <c r="G13" s="6"/>
      <c r="H13" s="1"/>
      <c r="I13" s="11"/>
      <c r="J13" s="6"/>
      <c r="K13" s="6"/>
      <c r="L13" s="6"/>
      <c r="M13" s="6"/>
      <c r="N13" s="11"/>
      <c r="O13" s="6">
        <v>4193000</v>
      </c>
      <c r="P13" s="6"/>
      <c r="Q13" s="6"/>
      <c r="R13" s="6"/>
      <c r="S13" s="39"/>
      <c r="T13" s="39"/>
      <c r="U13" s="6"/>
      <c r="V13" s="6"/>
      <c r="W13" s="6"/>
      <c r="X13" s="6"/>
      <c r="Y13" s="6"/>
      <c r="Z13" s="6"/>
    </row>
    <row r="14" spans="1:26" s="14" customFormat="1" x14ac:dyDescent="0.35">
      <c r="A14" s="9">
        <v>11</v>
      </c>
      <c r="B14" s="12" t="s">
        <v>83</v>
      </c>
      <c r="C14" s="2" t="s">
        <v>73</v>
      </c>
      <c r="D14" s="8" t="s">
        <v>86</v>
      </c>
      <c r="E14" s="4">
        <v>3800</v>
      </c>
      <c r="F14" s="4"/>
      <c r="G14" s="15"/>
      <c r="H14" s="4"/>
      <c r="I14" s="16"/>
      <c r="J14" s="15"/>
      <c r="K14" s="4"/>
      <c r="L14" s="15"/>
      <c r="M14" s="15"/>
      <c r="N14" s="16"/>
      <c r="O14" s="4"/>
      <c r="P14" s="15"/>
      <c r="Q14" s="15"/>
      <c r="R14" s="15"/>
      <c r="S14" s="17"/>
      <c r="T14" s="17"/>
      <c r="U14" s="15"/>
      <c r="V14" s="4"/>
      <c r="W14" s="15"/>
      <c r="X14" s="15"/>
      <c r="Y14" s="15"/>
      <c r="Z14" s="15"/>
    </row>
    <row r="15" spans="1:26" s="14" customFormat="1" x14ac:dyDescent="0.35">
      <c r="A15" s="9">
        <v>12</v>
      </c>
      <c r="B15" s="12">
        <v>46117</v>
      </c>
      <c r="C15" s="2" t="s">
        <v>74</v>
      </c>
      <c r="D15" s="8" t="s">
        <v>91</v>
      </c>
      <c r="E15" s="4"/>
      <c r="F15" s="4"/>
      <c r="G15" s="15"/>
      <c r="H15" s="4"/>
      <c r="I15" s="16"/>
      <c r="J15" s="15"/>
      <c r="K15" s="4"/>
      <c r="L15" s="15"/>
      <c r="M15" s="15"/>
      <c r="N15" s="16"/>
      <c r="O15" s="4"/>
      <c r="P15" s="15"/>
      <c r="Q15" s="15"/>
      <c r="R15" s="15"/>
      <c r="S15" s="17"/>
      <c r="T15" s="17"/>
      <c r="U15" s="15"/>
      <c r="V15" s="4"/>
      <c r="W15" s="15"/>
      <c r="X15" s="15"/>
      <c r="Y15" s="15"/>
      <c r="Z15" s="15"/>
    </row>
    <row r="16" spans="1:26" s="5" customFormat="1" x14ac:dyDescent="0.35">
      <c r="A16" s="9">
        <v>13</v>
      </c>
      <c r="B16" s="12">
        <v>46147</v>
      </c>
      <c r="C16" s="2" t="s">
        <v>87</v>
      </c>
      <c r="D16" s="8" t="s">
        <v>107</v>
      </c>
      <c r="E16" s="6"/>
      <c r="F16" s="1"/>
      <c r="G16" s="1"/>
      <c r="H16" s="6"/>
      <c r="I16" s="11"/>
      <c r="J16" s="6"/>
      <c r="K16" s="1"/>
      <c r="L16" s="6">
        <v>5500</v>
      </c>
      <c r="M16" s="6"/>
      <c r="N16" s="11"/>
      <c r="O16" s="1"/>
      <c r="P16" s="6"/>
      <c r="Q16" s="6"/>
      <c r="R16" s="6"/>
      <c r="S16" s="39"/>
      <c r="T16" s="39"/>
      <c r="U16" s="6"/>
      <c r="V16" s="1"/>
      <c r="W16" s="6"/>
      <c r="X16" s="6"/>
      <c r="Y16" s="6"/>
      <c r="Z16" s="6"/>
    </row>
    <row r="17" spans="1:26" s="5" customFormat="1" x14ac:dyDescent="0.35">
      <c r="A17" s="9">
        <v>14</v>
      </c>
      <c r="B17" s="12">
        <v>46147</v>
      </c>
      <c r="C17" s="2" t="s">
        <v>88</v>
      </c>
      <c r="D17" s="8" t="s">
        <v>108</v>
      </c>
      <c r="E17" s="6"/>
      <c r="F17" s="1"/>
      <c r="G17" s="1"/>
      <c r="H17" s="6"/>
      <c r="I17" s="11"/>
      <c r="J17" s="6"/>
      <c r="K17" s="1"/>
      <c r="L17" s="6"/>
      <c r="M17" s="6"/>
      <c r="N17" s="11"/>
      <c r="O17" s="1"/>
      <c r="P17" s="6"/>
      <c r="Q17" s="6"/>
      <c r="R17" s="6"/>
      <c r="S17" s="39"/>
      <c r="T17" s="39"/>
      <c r="U17" s="6"/>
      <c r="V17" s="1"/>
      <c r="W17" s="6"/>
      <c r="X17" s="6">
        <v>660000</v>
      </c>
      <c r="Y17" s="6"/>
      <c r="Z17" s="6"/>
    </row>
    <row r="18" spans="1:26" s="5" customFormat="1" x14ac:dyDescent="0.35">
      <c r="A18" s="9">
        <v>15</v>
      </c>
      <c r="B18" s="12">
        <v>46147</v>
      </c>
      <c r="C18" s="2" t="s">
        <v>89</v>
      </c>
      <c r="D18" s="8" t="s">
        <v>109</v>
      </c>
      <c r="E18" s="6"/>
      <c r="F18" s="1"/>
      <c r="G18" s="1"/>
      <c r="H18" s="6"/>
      <c r="I18" s="11"/>
      <c r="J18" s="6"/>
      <c r="K18" s="1">
        <v>10000</v>
      </c>
      <c r="L18" s="6"/>
      <c r="M18" s="6"/>
      <c r="N18" s="11"/>
      <c r="O18" s="1"/>
      <c r="P18" s="6"/>
      <c r="Q18" s="6"/>
      <c r="R18" s="6"/>
      <c r="S18" s="39"/>
      <c r="T18" s="39"/>
      <c r="U18" s="6"/>
      <c r="V18" s="1"/>
      <c r="W18" s="6"/>
      <c r="X18" s="6"/>
      <c r="Y18" s="6"/>
      <c r="Z18" s="6"/>
    </row>
    <row r="19" spans="1:26" s="5" customFormat="1" x14ac:dyDescent="0.35">
      <c r="A19" s="9">
        <v>16</v>
      </c>
      <c r="B19" s="12">
        <v>46178</v>
      </c>
      <c r="C19" s="2" t="s">
        <v>90</v>
      </c>
      <c r="D19" s="8" t="s">
        <v>110</v>
      </c>
      <c r="E19" s="6"/>
      <c r="F19" s="1"/>
      <c r="G19" s="1"/>
      <c r="H19" s="6"/>
      <c r="I19" s="11"/>
      <c r="J19" s="6"/>
      <c r="K19" s="1"/>
      <c r="L19" s="6">
        <v>3000</v>
      </c>
      <c r="M19" s="6"/>
      <c r="N19" s="11"/>
      <c r="O19" s="1"/>
      <c r="P19" s="6"/>
      <c r="Q19" s="6"/>
      <c r="R19" s="6"/>
      <c r="S19" s="39"/>
      <c r="T19" s="39"/>
      <c r="U19" s="6"/>
      <c r="V19" s="1"/>
      <c r="W19" s="6"/>
      <c r="X19" s="6"/>
      <c r="Y19" s="6"/>
      <c r="Z19" s="6"/>
    </row>
    <row r="20" spans="1:26" s="5" customFormat="1" x14ac:dyDescent="0.35">
      <c r="A20" s="9">
        <v>17</v>
      </c>
      <c r="B20" s="12">
        <v>46178</v>
      </c>
      <c r="C20" s="2" t="s">
        <v>94</v>
      </c>
      <c r="D20" s="8" t="s">
        <v>111</v>
      </c>
      <c r="E20" s="6"/>
      <c r="F20" s="1"/>
      <c r="G20" s="1"/>
      <c r="H20" s="6"/>
      <c r="I20" s="11">
        <v>20000000</v>
      </c>
      <c r="J20" s="6"/>
      <c r="K20" s="1"/>
      <c r="L20" s="6"/>
      <c r="M20" s="6"/>
      <c r="N20" s="11"/>
      <c r="O20" s="1"/>
      <c r="P20" s="6"/>
      <c r="Q20" s="6"/>
      <c r="R20" s="6"/>
      <c r="S20" s="39"/>
      <c r="T20" s="39"/>
      <c r="U20" s="6"/>
      <c r="V20" s="1"/>
      <c r="W20" s="6"/>
      <c r="X20" s="6"/>
      <c r="Y20" s="6"/>
      <c r="Z20" s="6"/>
    </row>
    <row r="21" spans="1:26" s="5" customFormat="1" x14ac:dyDescent="0.35">
      <c r="A21" s="9">
        <v>18</v>
      </c>
      <c r="B21" s="12">
        <v>46178</v>
      </c>
      <c r="C21" s="2" t="s">
        <v>95</v>
      </c>
      <c r="D21" s="8" t="s">
        <v>112</v>
      </c>
      <c r="E21" s="6"/>
      <c r="F21" s="1"/>
      <c r="G21" s="1"/>
      <c r="H21" s="6"/>
      <c r="I21" s="11"/>
      <c r="J21" s="6"/>
      <c r="K21" s="1"/>
      <c r="L21" s="6"/>
      <c r="M21" s="6"/>
      <c r="N21" s="11">
        <v>8000000</v>
      </c>
      <c r="O21" s="1"/>
      <c r="P21" s="6"/>
      <c r="Q21" s="6"/>
      <c r="R21" s="6"/>
      <c r="S21" s="39"/>
      <c r="T21" s="39"/>
      <c r="U21" s="6"/>
      <c r="V21" s="1"/>
      <c r="W21" s="6"/>
      <c r="X21" s="6"/>
      <c r="Y21" s="6"/>
      <c r="Z21" s="6"/>
    </row>
    <row r="22" spans="1:26" s="5" customFormat="1" x14ac:dyDescent="0.35">
      <c r="A22" s="9">
        <v>19</v>
      </c>
      <c r="B22" s="12">
        <v>46239</v>
      </c>
      <c r="C22" s="2" t="s">
        <v>96</v>
      </c>
      <c r="D22" s="8" t="s">
        <v>113</v>
      </c>
      <c r="E22" s="6"/>
      <c r="F22" s="1"/>
      <c r="G22" s="1"/>
      <c r="H22" s="6"/>
      <c r="I22" s="11"/>
      <c r="J22" s="6"/>
      <c r="K22" s="1"/>
      <c r="L22" s="6">
        <v>3100</v>
      </c>
      <c r="M22" s="6"/>
      <c r="N22" s="11"/>
      <c r="O22" s="1"/>
      <c r="P22" s="6"/>
      <c r="Q22" s="6"/>
      <c r="R22" s="6"/>
      <c r="S22" s="39"/>
      <c r="T22" s="39"/>
      <c r="U22" s="6"/>
      <c r="V22" s="1"/>
      <c r="W22" s="6"/>
      <c r="X22" s="6"/>
      <c r="Y22" s="6"/>
      <c r="Z22" s="6"/>
    </row>
    <row r="23" spans="1:26" s="5" customFormat="1" x14ac:dyDescent="0.35">
      <c r="A23" s="9">
        <v>20</v>
      </c>
      <c r="B23" s="12">
        <v>46239</v>
      </c>
      <c r="C23" s="2" t="s">
        <v>97</v>
      </c>
      <c r="D23" s="8" t="s">
        <v>114</v>
      </c>
      <c r="E23" s="6"/>
      <c r="F23" s="1"/>
      <c r="G23" s="1"/>
      <c r="H23" s="6">
        <v>1450000</v>
      </c>
      <c r="I23" s="11"/>
      <c r="J23" s="6"/>
      <c r="K23" s="1"/>
      <c r="L23" s="6"/>
      <c r="M23" s="6"/>
      <c r="N23" s="11"/>
      <c r="O23" s="1"/>
      <c r="P23" s="6"/>
      <c r="Q23" s="6"/>
      <c r="R23" s="6"/>
      <c r="S23" s="39"/>
      <c r="T23" s="39"/>
      <c r="U23" s="6"/>
      <c r="V23" s="1"/>
      <c r="W23" s="6"/>
      <c r="X23" s="6"/>
      <c r="Y23" s="6"/>
      <c r="Z23" s="6"/>
    </row>
    <row r="24" spans="1:26" s="5" customFormat="1" x14ac:dyDescent="0.35">
      <c r="A24" s="9">
        <v>21</v>
      </c>
      <c r="B24" s="12">
        <v>46239</v>
      </c>
      <c r="C24" s="2" t="s">
        <v>98</v>
      </c>
      <c r="D24" s="8" t="s">
        <v>115</v>
      </c>
      <c r="E24" s="6"/>
      <c r="F24" s="1"/>
      <c r="G24" s="1"/>
      <c r="H24" s="6"/>
      <c r="I24" s="11"/>
      <c r="J24" s="6"/>
      <c r="K24" s="1"/>
      <c r="L24" s="6"/>
      <c r="M24" s="6"/>
      <c r="N24" s="11"/>
      <c r="O24" s="1"/>
      <c r="P24" s="6"/>
      <c r="Q24" s="6"/>
      <c r="R24" s="6"/>
      <c r="S24" s="39"/>
      <c r="T24" s="39"/>
      <c r="U24" s="6"/>
      <c r="V24" s="1"/>
      <c r="W24" s="6"/>
      <c r="X24" s="6">
        <v>195000</v>
      </c>
      <c r="Y24" s="6"/>
      <c r="Z24" s="6"/>
    </row>
    <row r="25" spans="1:26" s="5" customFormat="1" x14ac:dyDescent="0.35">
      <c r="A25" s="9">
        <v>22</v>
      </c>
      <c r="B25" s="12">
        <v>46239</v>
      </c>
      <c r="C25" s="2" t="s">
        <v>99</v>
      </c>
      <c r="D25" s="8" t="s">
        <v>116</v>
      </c>
      <c r="E25" s="6">
        <v>17100</v>
      </c>
      <c r="F25" s="1"/>
      <c r="G25" s="1"/>
      <c r="H25" s="6"/>
      <c r="I25" s="11"/>
      <c r="J25" s="6"/>
      <c r="K25" s="1"/>
      <c r="L25" s="6"/>
      <c r="M25" s="6"/>
      <c r="N25" s="11"/>
      <c r="O25" s="1"/>
      <c r="P25" s="6"/>
      <c r="Q25" s="6"/>
      <c r="R25" s="6"/>
      <c r="S25" s="39"/>
      <c r="T25" s="39"/>
      <c r="U25" s="6"/>
      <c r="V25" s="1"/>
      <c r="W25" s="6"/>
      <c r="X25" s="6"/>
      <c r="Y25" s="6"/>
      <c r="Z25" s="6"/>
    </row>
    <row r="26" spans="1:26" s="5" customFormat="1" x14ac:dyDescent="0.35">
      <c r="A26" s="9">
        <v>23</v>
      </c>
      <c r="B26" s="12">
        <v>46239</v>
      </c>
      <c r="C26" s="2" t="s">
        <v>100</v>
      </c>
      <c r="D26" s="8" t="s">
        <v>117</v>
      </c>
      <c r="E26" s="6"/>
      <c r="F26" s="1"/>
      <c r="G26" s="1"/>
      <c r="H26" s="6"/>
      <c r="I26" s="11"/>
      <c r="J26" s="6"/>
      <c r="K26" s="1">
        <v>95000</v>
      </c>
      <c r="L26" s="6"/>
      <c r="M26" s="6"/>
      <c r="N26" s="11"/>
      <c r="O26" s="1"/>
      <c r="P26" s="6"/>
      <c r="Q26" s="6"/>
      <c r="R26" s="6"/>
      <c r="S26" s="39"/>
      <c r="T26" s="39"/>
      <c r="U26" s="6"/>
      <c r="V26" s="1"/>
      <c r="W26" s="6"/>
      <c r="X26" s="6"/>
      <c r="Y26" s="6"/>
      <c r="Z26" s="6"/>
    </row>
    <row r="27" spans="1:26" s="5" customFormat="1" x14ac:dyDescent="0.35">
      <c r="A27" s="9">
        <v>24</v>
      </c>
      <c r="B27" s="12">
        <v>46239</v>
      </c>
      <c r="C27" s="2" t="s">
        <v>101</v>
      </c>
      <c r="D27" s="8" t="s">
        <v>118</v>
      </c>
      <c r="E27" s="6"/>
      <c r="F27" s="1"/>
      <c r="G27" s="1"/>
      <c r="H27" s="6"/>
      <c r="I27" s="11"/>
      <c r="J27" s="6"/>
      <c r="K27" s="1"/>
      <c r="L27" s="6"/>
      <c r="M27" s="6"/>
      <c r="N27" s="11"/>
      <c r="O27" s="1"/>
      <c r="P27" s="6"/>
      <c r="Q27" s="6"/>
      <c r="R27" s="6"/>
      <c r="S27" s="39"/>
      <c r="T27" s="39"/>
      <c r="U27" s="6"/>
      <c r="V27" s="1"/>
      <c r="W27" s="6">
        <v>27890.47</v>
      </c>
      <c r="X27" s="6"/>
      <c r="Y27" s="6"/>
      <c r="Z27" s="6"/>
    </row>
    <row r="28" spans="1:26" s="5" customFormat="1" x14ac:dyDescent="0.35">
      <c r="A28" s="9">
        <v>25</v>
      </c>
      <c r="B28" s="12">
        <v>46239</v>
      </c>
      <c r="C28" s="2" t="s">
        <v>102</v>
      </c>
      <c r="D28" s="8" t="s">
        <v>119</v>
      </c>
      <c r="E28" s="6"/>
      <c r="F28" s="1"/>
      <c r="G28" s="1"/>
      <c r="H28" s="6"/>
      <c r="I28" s="11"/>
      <c r="J28" s="6">
        <v>361000</v>
      </c>
      <c r="K28" s="1"/>
      <c r="L28" s="6"/>
      <c r="M28" s="6"/>
      <c r="N28" s="11"/>
      <c r="O28" s="1"/>
      <c r="P28" s="6"/>
      <c r="Q28" s="6"/>
      <c r="R28" s="6"/>
      <c r="S28" s="39"/>
      <c r="T28" s="39"/>
      <c r="U28" s="6"/>
      <c r="V28" s="1"/>
      <c r="W28" s="6"/>
      <c r="X28" s="6"/>
      <c r="Y28" s="6"/>
      <c r="Z28" s="6"/>
    </row>
    <row r="29" spans="1:26" s="5" customFormat="1" x14ac:dyDescent="0.35">
      <c r="A29" s="9">
        <v>26</v>
      </c>
      <c r="B29" s="12">
        <v>46239</v>
      </c>
      <c r="C29" s="2" t="s">
        <v>103</v>
      </c>
      <c r="D29" s="8" t="s">
        <v>120</v>
      </c>
      <c r="E29" s="6"/>
      <c r="F29" s="1"/>
      <c r="G29" s="1"/>
      <c r="H29" s="6"/>
      <c r="I29" s="11"/>
      <c r="J29" s="6">
        <v>541500</v>
      </c>
      <c r="K29" s="1"/>
      <c r="L29" s="6"/>
      <c r="M29" s="6"/>
      <c r="N29" s="11"/>
      <c r="O29" s="1"/>
      <c r="P29" s="6"/>
      <c r="Q29" s="6"/>
      <c r="R29" s="6"/>
      <c r="S29" s="39"/>
      <c r="T29" s="39"/>
      <c r="U29" s="6"/>
      <c r="V29" s="1"/>
      <c r="W29" s="6"/>
      <c r="X29" s="6"/>
      <c r="Y29" s="6"/>
      <c r="Z29" s="6"/>
    </row>
    <row r="30" spans="1:26" s="5" customFormat="1" x14ac:dyDescent="0.35">
      <c r="A30" s="9">
        <v>27</v>
      </c>
      <c r="B30" s="12" t="s">
        <v>121</v>
      </c>
      <c r="C30" s="2" t="s">
        <v>104</v>
      </c>
      <c r="D30" s="8" t="s">
        <v>122</v>
      </c>
      <c r="E30" s="6">
        <v>500</v>
      </c>
      <c r="F30" s="1"/>
      <c r="G30" s="1"/>
      <c r="H30" s="6"/>
      <c r="I30" s="11"/>
      <c r="J30" s="6"/>
      <c r="K30" s="1"/>
      <c r="L30" s="6"/>
      <c r="M30" s="6"/>
      <c r="N30" s="11"/>
      <c r="O30" s="1"/>
      <c r="P30" s="6"/>
      <c r="Q30" s="6"/>
      <c r="R30" s="6"/>
      <c r="S30" s="39"/>
      <c r="T30" s="39"/>
      <c r="U30" s="6"/>
      <c r="V30" s="1"/>
      <c r="W30" s="6"/>
      <c r="X30" s="6"/>
      <c r="Y30" s="6"/>
      <c r="Z30" s="6"/>
    </row>
    <row r="31" spans="1:26" s="5" customFormat="1" x14ac:dyDescent="0.35">
      <c r="A31" s="9">
        <v>28</v>
      </c>
      <c r="B31" s="12">
        <v>46270</v>
      </c>
      <c r="C31" s="2" t="s">
        <v>105</v>
      </c>
      <c r="D31" s="8" t="s">
        <v>123</v>
      </c>
      <c r="E31" s="6"/>
      <c r="F31" s="1"/>
      <c r="G31" s="1"/>
      <c r="H31" s="6"/>
      <c r="I31" s="11"/>
      <c r="J31" s="6"/>
      <c r="K31" s="1"/>
      <c r="L31" s="6"/>
      <c r="M31" s="6"/>
      <c r="N31" s="11">
        <v>400000</v>
      </c>
      <c r="O31" s="1"/>
      <c r="P31" s="6"/>
      <c r="Q31" s="6"/>
      <c r="R31" s="6"/>
      <c r="S31" s="39"/>
      <c r="T31" s="39"/>
      <c r="U31" s="6"/>
      <c r="V31" s="1"/>
      <c r="W31" s="6"/>
      <c r="X31" s="6"/>
      <c r="Y31" s="6"/>
      <c r="Z31" s="6"/>
    </row>
    <row r="32" spans="1:26" s="5" customFormat="1" x14ac:dyDescent="0.35">
      <c r="A32" s="9">
        <v>29</v>
      </c>
      <c r="B32" s="12">
        <v>46331</v>
      </c>
      <c r="C32" s="2" t="s">
        <v>106</v>
      </c>
      <c r="D32" s="8" t="s">
        <v>124</v>
      </c>
      <c r="E32" s="6"/>
      <c r="F32" s="1"/>
      <c r="G32" s="1"/>
      <c r="H32" s="6"/>
      <c r="I32" s="11"/>
      <c r="J32" s="6"/>
      <c r="K32" s="1"/>
      <c r="L32" s="6">
        <v>162000</v>
      </c>
      <c r="M32" s="6"/>
      <c r="N32" s="11"/>
      <c r="O32" s="1"/>
      <c r="P32" s="6"/>
      <c r="Q32" s="6"/>
      <c r="R32" s="6"/>
      <c r="S32" s="39"/>
      <c r="T32" s="39"/>
      <c r="U32" s="6"/>
      <c r="V32" s="1"/>
      <c r="W32" s="6"/>
      <c r="X32" s="6"/>
      <c r="Y32" s="6"/>
      <c r="Z32" s="6"/>
    </row>
    <row r="33" spans="1:26" s="5" customFormat="1" x14ac:dyDescent="0.35">
      <c r="A33" s="9">
        <v>30</v>
      </c>
      <c r="B33" s="12">
        <v>46331</v>
      </c>
      <c r="C33" s="2" t="s">
        <v>125</v>
      </c>
      <c r="D33" s="8" t="s">
        <v>132</v>
      </c>
      <c r="E33" s="6"/>
      <c r="F33" s="1"/>
      <c r="G33" s="1"/>
      <c r="H33" s="6">
        <v>50000</v>
      </c>
      <c r="I33" s="11"/>
      <c r="J33" s="6"/>
      <c r="K33" s="1"/>
      <c r="L33" s="6"/>
      <c r="M33" s="6"/>
      <c r="N33" s="11"/>
      <c r="O33" s="1"/>
      <c r="P33" s="6"/>
      <c r="Q33" s="6"/>
      <c r="R33" s="6"/>
      <c r="S33" s="39"/>
      <c r="T33" s="39"/>
      <c r="U33" s="6"/>
      <c r="V33" s="1"/>
      <c r="W33" s="6"/>
      <c r="X33" s="6"/>
      <c r="Y33" s="6"/>
      <c r="Z33" s="6"/>
    </row>
    <row r="34" spans="1:26" s="5" customFormat="1" x14ac:dyDescent="0.35">
      <c r="A34" s="9">
        <v>31</v>
      </c>
      <c r="B34" s="12">
        <v>46331</v>
      </c>
      <c r="C34" s="2" t="s">
        <v>126</v>
      </c>
      <c r="D34" s="8" t="s">
        <v>133</v>
      </c>
      <c r="E34" s="6"/>
      <c r="F34" s="1"/>
      <c r="G34" s="1"/>
      <c r="H34" s="6"/>
      <c r="I34" s="11"/>
      <c r="J34" s="6"/>
      <c r="K34" s="1"/>
      <c r="L34" s="6"/>
      <c r="M34" s="6"/>
      <c r="N34" s="11"/>
      <c r="O34" s="1"/>
      <c r="P34" s="6"/>
      <c r="Q34" s="6"/>
      <c r="R34" s="6"/>
      <c r="S34" s="39">
        <v>20000</v>
      </c>
      <c r="T34" s="39"/>
      <c r="U34" s="6"/>
      <c r="V34" s="1"/>
      <c r="W34" s="6"/>
      <c r="X34" s="6"/>
      <c r="Y34" s="6"/>
      <c r="Z34" s="6"/>
    </row>
    <row r="35" spans="1:26" s="5" customFormat="1" x14ac:dyDescent="0.35">
      <c r="A35" s="9">
        <v>32</v>
      </c>
      <c r="B35" s="12">
        <v>46331</v>
      </c>
      <c r="C35" s="2" t="s">
        <v>127</v>
      </c>
      <c r="D35" s="8" t="s">
        <v>134</v>
      </c>
      <c r="E35" s="6"/>
      <c r="F35" s="1"/>
      <c r="G35" s="1"/>
      <c r="H35" s="6"/>
      <c r="I35" s="11"/>
      <c r="J35" s="6"/>
      <c r="K35" s="1"/>
      <c r="L35" s="6">
        <v>21000</v>
      </c>
      <c r="M35" s="6"/>
      <c r="N35" s="11"/>
      <c r="O35" s="1"/>
      <c r="P35" s="6"/>
      <c r="Q35" s="6"/>
      <c r="R35" s="6"/>
      <c r="S35" s="39"/>
      <c r="T35" s="39"/>
      <c r="U35" s="6"/>
      <c r="V35" s="1"/>
      <c r="W35" s="6"/>
      <c r="X35" s="6"/>
      <c r="Y35" s="6"/>
      <c r="Z35" s="6"/>
    </row>
    <row r="36" spans="1:26" s="5" customFormat="1" x14ac:dyDescent="0.35">
      <c r="A36" s="9">
        <v>33</v>
      </c>
      <c r="B36" s="12">
        <v>46331</v>
      </c>
      <c r="C36" s="2" t="s">
        <v>128</v>
      </c>
      <c r="D36" s="8" t="s">
        <v>135</v>
      </c>
      <c r="E36" s="6"/>
      <c r="F36" s="1"/>
      <c r="G36" s="1"/>
      <c r="H36" s="6"/>
      <c r="I36" s="11"/>
      <c r="J36" s="6"/>
      <c r="K36" s="1"/>
      <c r="L36" s="6"/>
      <c r="M36" s="6"/>
      <c r="N36" s="11"/>
      <c r="O36" s="1"/>
      <c r="P36" s="6">
        <v>561600</v>
      </c>
      <c r="Q36" s="6"/>
      <c r="R36" s="6"/>
      <c r="S36" s="39"/>
      <c r="T36" s="39"/>
      <c r="U36" s="6"/>
      <c r="V36" s="1"/>
      <c r="W36" s="6"/>
      <c r="X36" s="6"/>
      <c r="Y36" s="6"/>
      <c r="Z36" s="6"/>
    </row>
    <row r="37" spans="1:26" s="5" customFormat="1" x14ac:dyDescent="0.35">
      <c r="A37" s="9">
        <v>34</v>
      </c>
      <c r="B37" s="12">
        <v>46331</v>
      </c>
      <c r="C37" s="2" t="s">
        <v>129</v>
      </c>
      <c r="D37" s="8" t="s">
        <v>136</v>
      </c>
      <c r="E37" s="6"/>
      <c r="F37" s="1"/>
      <c r="G37" s="1"/>
      <c r="H37" s="6"/>
      <c r="I37" s="11"/>
      <c r="J37" s="6">
        <v>1662500</v>
      </c>
      <c r="K37" s="1"/>
      <c r="L37" s="6"/>
      <c r="M37" s="6"/>
      <c r="N37" s="11"/>
      <c r="O37" s="1"/>
      <c r="P37" s="6"/>
      <c r="Q37" s="6"/>
      <c r="R37" s="6"/>
      <c r="S37" s="39"/>
      <c r="T37" s="39"/>
      <c r="U37" s="6"/>
      <c r="V37" s="1"/>
      <c r="W37" s="6"/>
      <c r="X37" s="6"/>
      <c r="Y37" s="6"/>
      <c r="Z37" s="6"/>
    </row>
    <row r="38" spans="1:26" s="5" customFormat="1" x14ac:dyDescent="0.35">
      <c r="A38" s="9">
        <v>35</v>
      </c>
      <c r="B38" s="12">
        <v>46331</v>
      </c>
      <c r="C38" s="2" t="s">
        <v>130</v>
      </c>
      <c r="D38" s="8" t="s">
        <v>137</v>
      </c>
      <c r="E38" s="6"/>
      <c r="F38" s="1"/>
      <c r="G38" s="1"/>
      <c r="H38" s="6"/>
      <c r="I38" s="11"/>
      <c r="J38" s="6"/>
      <c r="K38" s="1"/>
      <c r="L38" s="6"/>
      <c r="M38" s="6"/>
      <c r="N38" s="11"/>
      <c r="O38" s="1"/>
      <c r="P38" s="6"/>
      <c r="Q38" s="6"/>
      <c r="R38" s="6"/>
      <c r="S38" s="39">
        <v>10000</v>
      </c>
      <c r="T38" s="39"/>
      <c r="U38" s="6"/>
      <c r="V38" s="1"/>
      <c r="W38" s="6"/>
      <c r="X38" s="6"/>
      <c r="Y38" s="6"/>
      <c r="Z38" s="6"/>
    </row>
    <row r="39" spans="1:26" s="5" customFormat="1" x14ac:dyDescent="0.35">
      <c r="A39" s="9">
        <v>36</v>
      </c>
      <c r="B39" s="12">
        <v>46331</v>
      </c>
      <c r="C39" s="2" t="s">
        <v>131</v>
      </c>
      <c r="D39" s="8" t="s">
        <v>138</v>
      </c>
      <c r="E39" s="6"/>
      <c r="F39" s="1"/>
      <c r="G39" s="1"/>
      <c r="H39" s="6"/>
      <c r="I39" s="11"/>
      <c r="J39" s="6"/>
      <c r="K39" s="1"/>
      <c r="L39" s="6"/>
      <c r="M39" s="6"/>
      <c r="N39" s="11">
        <v>10000000</v>
      </c>
      <c r="O39" s="1"/>
      <c r="P39" s="6"/>
      <c r="Q39" s="6"/>
      <c r="R39" s="6"/>
      <c r="S39" s="39"/>
      <c r="T39" s="39"/>
      <c r="U39" s="6"/>
      <c r="V39" s="1"/>
      <c r="W39" s="6"/>
      <c r="X39" s="6"/>
      <c r="Y39" s="6"/>
      <c r="Z39" s="6"/>
    </row>
    <row r="40" spans="1:26" s="5" customFormat="1" x14ac:dyDescent="0.35">
      <c r="A40" s="9">
        <v>37</v>
      </c>
      <c r="B40" s="12">
        <v>46331</v>
      </c>
      <c r="C40" s="2" t="s">
        <v>139</v>
      </c>
      <c r="D40" s="8" t="s">
        <v>145</v>
      </c>
      <c r="E40" s="6"/>
      <c r="F40" s="1"/>
      <c r="G40" s="1"/>
      <c r="H40" s="6"/>
      <c r="I40" s="11"/>
      <c r="J40" s="6"/>
      <c r="K40" s="1"/>
      <c r="L40" s="6">
        <v>10000</v>
      </c>
      <c r="M40" s="6"/>
      <c r="N40" s="11"/>
      <c r="O40" s="1"/>
      <c r="P40" s="6"/>
      <c r="Q40" s="6"/>
      <c r="R40" s="6"/>
      <c r="S40" s="39"/>
      <c r="T40" s="39"/>
      <c r="U40" s="6"/>
      <c r="V40" s="1"/>
      <c r="W40" s="6"/>
      <c r="X40" s="6"/>
      <c r="Y40" s="6"/>
      <c r="Z40" s="6"/>
    </row>
    <row r="41" spans="1:26" s="5" customFormat="1" x14ac:dyDescent="0.35">
      <c r="A41" s="9">
        <v>38</v>
      </c>
      <c r="B41" s="12">
        <v>46361</v>
      </c>
      <c r="C41" s="2" t="s">
        <v>140</v>
      </c>
      <c r="D41" s="8" t="s">
        <v>91</v>
      </c>
      <c r="E41" s="6"/>
      <c r="F41" s="1"/>
      <c r="G41" s="1"/>
      <c r="H41" s="6"/>
      <c r="I41" s="11"/>
      <c r="J41" s="6"/>
      <c r="K41" s="1"/>
      <c r="L41" s="6"/>
      <c r="M41" s="6"/>
      <c r="N41" s="11"/>
      <c r="O41" s="1"/>
      <c r="P41" s="6"/>
      <c r="Q41" s="6"/>
      <c r="R41" s="6"/>
      <c r="S41" s="39"/>
      <c r="T41" s="39"/>
      <c r="U41" s="6"/>
      <c r="V41" s="1"/>
      <c r="W41" s="6"/>
      <c r="X41" s="6"/>
      <c r="Y41" s="6"/>
      <c r="Z41" s="6"/>
    </row>
    <row r="42" spans="1:26" s="5" customFormat="1" x14ac:dyDescent="0.35">
      <c r="A42" s="9">
        <v>39</v>
      </c>
      <c r="B42" s="12">
        <v>46361</v>
      </c>
      <c r="C42" s="2" t="s">
        <v>141</v>
      </c>
      <c r="D42" s="8" t="s">
        <v>146</v>
      </c>
      <c r="E42" s="6"/>
      <c r="F42" s="1"/>
      <c r="G42" s="1"/>
      <c r="H42" s="6"/>
      <c r="I42" s="11"/>
      <c r="J42" s="6"/>
      <c r="K42" s="1"/>
      <c r="L42" s="6"/>
      <c r="M42" s="6"/>
      <c r="N42" s="11">
        <v>10000000</v>
      </c>
      <c r="O42" s="1"/>
      <c r="P42" s="6"/>
      <c r="Q42" s="6"/>
      <c r="R42" s="6"/>
      <c r="S42" s="39"/>
      <c r="T42" s="39"/>
      <c r="U42" s="6"/>
      <c r="V42" s="1"/>
      <c r="W42" s="6"/>
      <c r="X42" s="6"/>
      <c r="Y42" s="6"/>
      <c r="Z42" s="6"/>
    </row>
    <row r="43" spans="1:26" s="5" customFormat="1" x14ac:dyDescent="0.35">
      <c r="A43" s="9">
        <v>40</v>
      </c>
      <c r="B43" s="12">
        <v>46361</v>
      </c>
      <c r="C43" s="2" t="s">
        <v>142</v>
      </c>
      <c r="D43" s="8" t="s">
        <v>147</v>
      </c>
      <c r="E43" s="6"/>
      <c r="F43" s="1"/>
      <c r="G43" s="1"/>
      <c r="H43" s="6"/>
      <c r="I43" s="11"/>
      <c r="J43" s="6"/>
      <c r="K43" s="1"/>
      <c r="L43" s="6"/>
      <c r="M43" s="6"/>
      <c r="N43" s="11"/>
      <c r="O43" s="1">
        <v>86400</v>
      </c>
      <c r="P43" s="6"/>
      <c r="Q43" s="6"/>
      <c r="R43" s="6"/>
      <c r="S43" s="39"/>
      <c r="T43" s="39"/>
      <c r="U43" s="6"/>
      <c r="V43" s="1"/>
      <c r="W43" s="6"/>
      <c r="X43" s="6"/>
      <c r="Y43" s="6"/>
      <c r="Z43" s="6"/>
    </row>
    <row r="44" spans="1:26" s="5" customFormat="1" x14ac:dyDescent="0.35">
      <c r="A44" s="9">
        <v>41</v>
      </c>
      <c r="B44" s="12">
        <v>46361</v>
      </c>
      <c r="C44" s="2" t="s">
        <v>143</v>
      </c>
      <c r="D44" s="8" t="s">
        <v>148</v>
      </c>
      <c r="E44" s="6"/>
      <c r="F44" s="1"/>
      <c r="G44" s="1"/>
      <c r="H44" s="6"/>
      <c r="I44" s="11"/>
      <c r="J44" s="6"/>
      <c r="K44" s="1"/>
      <c r="L44" s="6"/>
      <c r="M44" s="6"/>
      <c r="N44" s="11"/>
      <c r="O44" s="1">
        <v>599000</v>
      </c>
      <c r="P44" s="6"/>
      <c r="Q44" s="6"/>
      <c r="R44" s="6"/>
      <c r="S44" s="39"/>
      <c r="T44" s="39"/>
      <c r="U44" s="6"/>
      <c r="V44" s="1"/>
      <c r="W44" s="6"/>
      <c r="X44" s="6"/>
      <c r="Y44" s="6"/>
      <c r="Z44" s="6"/>
    </row>
    <row r="45" spans="1:26" s="5" customFormat="1" x14ac:dyDescent="0.35">
      <c r="A45" s="9">
        <v>42</v>
      </c>
      <c r="B45" s="12">
        <v>46361</v>
      </c>
      <c r="C45" s="2" t="s">
        <v>144</v>
      </c>
      <c r="D45" s="8" t="s">
        <v>152</v>
      </c>
      <c r="E45" s="6"/>
      <c r="F45" s="1"/>
      <c r="G45" s="1"/>
      <c r="H45" s="6"/>
      <c r="I45" s="11"/>
      <c r="J45" s="6"/>
      <c r="K45" s="1"/>
      <c r="L45" s="6">
        <v>2000</v>
      </c>
      <c r="M45" s="6"/>
      <c r="N45" s="11"/>
      <c r="O45" s="1"/>
      <c r="P45" s="6"/>
      <c r="Q45" s="6"/>
      <c r="R45" s="6"/>
      <c r="S45" s="39"/>
      <c r="T45" s="39"/>
      <c r="U45" s="6"/>
      <c r="V45" s="1"/>
      <c r="W45" s="6"/>
      <c r="X45" s="6"/>
      <c r="Y45" s="6"/>
      <c r="Z45" s="6"/>
    </row>
    <row r="46" spans="1:26" s="5" customFormat="1" x14ac:dyDescent="0.35">
      <c r="A46" s="9">
        <v>43</v>
      </c>
      <c r="B46" s="12">
        <v>46208</v>
      </c>
      <c r="C46" s="2" t="s">
        <v>150</v>
      </c>
      <c r="D46" s="8" t="s">
        <v>151</v>
      </c>
      <c r="E46" s="6"/>
      <c r="F46" s="1"/>
      <c r="G46" s="1"/>
      <c r="H46" s="6"/>
      <c r="I46" s="11"/>
      <c r="J46" s="6"/>
      <c r="K46" s="1"/>
      <c r="L46" s="6"/>
      <c r="M46" s="6"/>
      <c r="N46" s="11">
        <v>24000000</v>
      </c>
      <c r="O46" s="1">
        <v>24000000</v>
      </c>
      <c r="P46" s="6"/>
      <c r="Q46" s="6"/>
      <c r="R46" s="6"/>
      <c r="S46" s="39"/>
      <c r="T46" s="39"/>
      <c r="U46" s="6"/>
      <c r="V46" s="1"/>
      <c r="W46" s="6"/>
      <c r="X46" s="6"/>
      <c r="Y46" s="6"/>
      <c r="Z46" s="6"/>
    </row>
    <row r="47" spans="1:26" s="5" customFormat="1" x14ac:dyDescent="0.35">
      <c r="A47" s="9"/>
      <c r="B47" s="12"/>
      <c r="C47" s="2"/>
      <c r="D47" s="8"/>
      <c r="E47" s="6"/>
      <c r="F47" s="1"/>
      <c r="G47" s="1"/>
      <c r="H47" s="6"/>
      <c r="I47" s="11"/>
      <c r="J47" s="6"/>
      <c r="K47" s="1"/>
      <c r="L47" s="6"/>
      <c r="M47" s="6"/>
      <c r="N47" s="11"/>
      <c r="O47" s="1"/>
      <c r="P47" s="6"/>
      <c r="Q47" s="6"/>
      <c r="R47" s="6"/>
      <c r="S47" s="39"/>
      <c r="T47" s="39"/>
      <c r="U47" s="6"/>
      <c r="V47" s="1"/>
      <c r="W47" s="6"/>
      <c r="X47" s="6"/>
      <c r="Y47" s="6"/>
      <c r="Z47" s="6"/>
    </row>
    <row r="48" spans="1:26" s="5" customFormat="1" x14ac:dyDescent="0.35">
      <c r="A48" s="9"/>
      <c r="B48" s="12"/>
      <c r="C48" s="2"/>
      <c r="D48" s="8"/>
      <c r="E48" s="6"/>
      <c r="F48" s="1"/>
      <c r="G48" s="1"/>
      <c r="H48" s="6"/>
      <c r="I48" s="11"/>
      <c r="J48" s="6"/>
      <c r="K48" s="1"/>
      <c r="L48" s="6"/>
      <c r="M48" s="6"/>
      <c r="N48" s="11"/>
      <c r="O48" s="1"/>
      <c r="P48" s="6"/>
      <c r="Q48" s="6"/>
      <c r="R48" s="6"/>
      <c r="S48" s="39"/>
      <c r="T48" s="39"/>
      <c r="U48" s="6"/>
      <c r="V48" s="1"/>
      <c r="W48" s="6"/>
      <c r="X48" s="6"/>
      <c r="Y48" s="6"/>
      <c r="Z48" s="6"/>
    </row>
    <row r="49" spans="1:26" s="5" customFormat="1" x14ac:dyDescent="0.35">
      <c r="A49" s="9"/>
      <c r="B49" s="12"/>
      <c r="C49" s="2"/>
      <c r="D49" s="8"/>
      <c r="E49" s="6"/>
      <c r="F49" s="1"/>
      <c r="G49" s="1"/>
      <c r="H49" s="6"/>
      <c r="I49" s="11"/>
      <c r="J49" s="6"/>
      <c r="K49" s="1"/>
      <c r="L49" s="6"/>
      <c r="M49" s="6"/>
      <c r="N49" s="11"/>
      <c r="O49" s="1"/>
      <c r="P49" s="6"/>
      <c r="Q49" s="6"/>
      <c r="R49" s="6"/>
      <c r="S49" s="39"/>
      <c r="T49" s="39"/>
      <c r="U49" s="6"/>
      <c r="V49" s="1"/>
      <c r="W49" s="6"/>
      <c r="X49" s="6"/>
      <c r="Y49" s="6"/>
      <c r="Z49" s="6"/>
    </row>
    <row r="50" spans="1:26" s="5" customFormat="1" x14ac:dyDescent="0.35">
      <c r="A50" s="9"/>
      <c r="B50" s="12"/>
      <c r="C50" s="2"/>
      <c r="D50" s="8"/>
      <c r="E50" s="6"/>
      <c r="F50" s="1"/>
      <c r="G50" s="1"/>
      <c r="H50" s="6"/>
      <c r="I50" s="11"/>
      <c r="J50" s="6"/>
      <c r="K50" s="1"/>
      <c r="L50" s="6"/>
      <c r="M50" s="6"/>
      <c r="N50" s="11"/>
      <c r="O50" s="1"/>
      <c r="P50" s="6"/>
      <c r="Q50" s="6"/>
      <c r="R50" s="6"/>
      <c r="S50" s="39"/>
      <c r="T50" s="39"/>
      <c r="U50" s="6"/>
      <c r="V50" s="1"/>
      <c r="W50" s="6"/>
      <c r="X50" s="6"/>
      <c r="Y50" s="6"/>
      <c r="Z50" s="6"/>
    </row>
    <row r="51" spans="1:26" s="5" customFormat="1" x14ac:dyDescent="0.35">
      <c r="A51" s="9"/>
      <c r="B51" s="12"/>
      <c r="C51" s="2"/>
      <c r="D51" s="8"/>
      <c r="E51" s="6"/>
      <c r="F51" s="1"/>
      <c r="G51" s="1"/>
      <c r="H51" s="6"/>
      <c r="I51" s="11"/>
      <c r="J51" s="6"/>
      <c r="K51" s="1"/>
      <c r="L51" s="6"/>
      <c r="M51" s="6"/>
      <c r="N51" s="11"/>
      <c r="O51" s="1"/>
      <c r="P51" s="6"/>
      <c r="Q51" s="6"/>
      <c r="R51" s="6"/>
      <c r="S51" s="39"/>
      <c r="T51" s="39"/>
      <c r="U51" s="6"/>
      <c r="V51" s="1"/>
      <c r="W51" s="6"/>
      <c r="X51" s="6"/>
      <c r="Y51" s="6"/>
      <c r="Z51" s="6"/>
    </row>
    <row r="52" spans="1:26" s="5" customFormat="1" x14ac:dyDescent="0.35">
      <c r="A52" s="9"/>
      <c r="B52" s="12"/>
      <c r="C52" s="2"/>
      <c r="D52" s="8"/>
      <c r="E52" s="6"/>
      <c r="F52" s="1"/>
      <c r="G52" s="1"/>
      <c r="H52" s="6"/>
      <c r="I52" s="11"/>
      <c r="J52" s="6"/>
      <c r="K52" s="1"/>
      <c r="L52" s="6"/>
      <c r="M52" s="6"/>
      <c r="N52" s="11"/>
      <c r="O52" s="1"/>
      <c r="P52" s="6"/>
      <c r="Q52" s="6"/>
      <c r="R52" s="6"/>
      <c r="S52" s="39"/>
      <c r="T52" s="39"/>
      <c r="U52" s="6"/>
      <c r="V52" s="1"/>
      <c r="W52" s="6"/>
      <c r="X52" s="6"/>
      <c r="Y52" s="6"/>
      <c r="Z52" s="6"/>
    </row>
    <row r="53" spans="1:26" s="5" customFormat="1" x14ac:dyDescent="0.35">
      <c r="A53" s="9"/>
      <c r="B53" s="12"/>
      <c r="C53" s="2"/>
      <c r="D53" s="8"/>
      <c r="E53" s="6"/>
      <c r="F53" s="1"/>
      <c r="G53" s="1"/>
      <c r="H53" s="6"/>
      <c r="I53" s="11"/>
      <c r="J53" s="6"/>
      <c r="K53" s="1"/>
      <c r="L53" s="6"/>
      <c r="M53" s="6"/>
      <c r="N53" s="11"/>
      <c r="O53" s="1"/>
      <c r="P53" s="6"/>
      <c r="Q53" s="6"/>
      <c r="R53" s="6"/>
      <c r="S53" s="39"/>
      <c r="T53" s="39"/>
      <c r="U53" s="6"/>
      <c r="V53" s="1"/>
      <c r="W53" s="6"/>
      <c r="X53" s="6"/>
      <c r="Y53" s="6"/>
      <c r="Z53" s="6"/>
    </row>
    <row r="54" spans="1:26" s="5" customFormat="1" x14ac:dyDescent="0.35">
      <c r="A54" s="9"/>
      <c r="B54" s="12"/>
      <c r="C54" s="2"/>
      <c r="D54" s="8"/>
      <c r="E54" s="6"/>
      <c r="F54" s="1"/>
      <c r="G54" s="1"/>
      <c r="H54" s="6"/>
      <c r="I54" s="11"/>
      <c r="J54" s="6"/>
      <c r="K54" s="1"/>
      <c r="L54" s="6"/>
      <c r="M54" s="6"/>
      <c r="N54" s="11"/>
      <c r="O54" s="1"/>
      <c r="P54" s="6"/>
      <c r="Q54" s="6"/>
      <c r="R54" s="6"/>
      <c r="S54" s="39"/>
      <c r="T54" s="39"/>
      <c r="U54" s="6"/>
      <c r="V54" s="1"/>
      <c r="W54" s="6"/>
      <c r="X54" s="6"/>
      <c r="Y54" s="6"/>
      <c r="Z54" s="6"/>
    </row>
    <row r="55" spans="1:26" s="5" customFormat="1" x14ac:dyDescent="0.35">
      <c r="A55" s="9"/>
      <c r="B55" s="12"/>
      <c r="C55" s="2"/>
      <c r="D55" s="8"/>
      <c r="E55" s="6"/>
      <c r="F55" s="1"/>
      <c r="G55" s="1"/>
      <c r="H55" s="6"/>
      <c r="I55" s="11"/>
      <c r="J55" s="6"/>
      <c r="K55" s="1"/>
      <c r="L55" s="6"/>
      <c r="M55" s="6"/>
      <c r="N55" s="11"/>
      <c r="O55" s="1"/>
      <c r="P55" s="6"/>
      <c r="Q55" s="6"/>
      <c r="R55" s="6"/>
      <c r="S55" s="39"/>
      <c r="T55" s="39"/>
      <c r="U55" s="6"/>
      <c r="V55" s="1"/>
      <c r="W55" s="6"/>
      <c r="X55" s="6"/>
      <c r="Y55" s="6"/>
      <c r="Z55" s="6"/>
    </row>
    <row r="56" spans="1:26" s="5" customFormat="1" x14ac:dyDescent="0.35">
      <c r="A56" s="9"/>
      <c r="B56" s="12"/>
      <c r="C56" s="2"/>
      <c r="D56" s="8"/>
      <c r="E56" s="6"/>
      <c r="F56" s="1"/>
      <c r="G56" s="1"/>
      <c r="H56" s="6"/>
      <c r="I56" s="11"/>
      <c r="J56" s="6"/>
      <c r="K56" s="1"/>
      <c r="L56" s="6"/>
      <c r="M56" s="6"/>
      <c r="N56" s="11"/>
      <c r="O56" s="1"/>
      <c r="P56" s="6"/>
      <c r="Q56" s="6"/>
      <c r="R56" s="6"/>
      <c r="S56" s="39"/>
      <c r="T56" s="39"/>
      <c r="U56" s="6"/>
      <c r="V56" s="1"/>
      <c r="W56" s="6"/>
      <c r="X56" s="6"/>
      <c r="Y56" s="6"/>
      <c r="Z56" s="6"/>
    </row>
    <row r="57" spans="1:26" s="5" customFormat="1" x14ac:dyDescent="0.35">
      <c r="A57" s="9"/>
      <c r="B57" s="12"/>
      <c r="C57" s="2"/>
      <c r="D57" s="8"/>
      <c r="E57" s="6"/>
      <c r="F57" s="1"/>
      <c r="G57" s="1"/>
      <c r="H57" s="6"/>
      <c r="I57" s="11"/>
      <c r="J57" s="6"/>
      <c r="K57" s="1"/>
      <c r="L57" s="6"/>
      <c r="M57" s="6"/>
      <c r="N57" s="11"/>
      <c r="O57" s="1"/>
      <c r="P57" s="6"/>
      <c r="Q57" s="6"/>
      <c r="R57" s="6"/>
      <c r="S57" s="39"/>
      <c r="T57" s="39"/>
      <c r="U57" s="6"/>
      <c r="V57" s="1"/>
      <c r="W57" s="6"/>
      <c r="X57" s="6"/>
      <c r="Y57" s="6"/>
      <c r="Z57" s="6"/>
    </row>
    <row r="58" spans="1:26" s="5" customFormat="1" x14ac:dyDescent="0.35">
      <c r="A58" s="9"/>
      <c r="B58" s="12"/>
      <c r="C58" s="2"/>
      <c r="D58" s="8"/>
      <c r="E58" s="6"/>
      <c r="F58" s="1"/>
      <c r="G58" s="1"/>
      <c r="H58" s="6"/>
      <c r="I58" s="11"/>
      <c r="J58" s="6"/>
      <c r="K58" s="1"/>
      <c r="L58" s="6"/>
      <c r="M58" s="6"/>
      <c r="N58" s="11"/>
      <c r="O58" s="1"/>
      <c r="P58" s="6"/>
      <c r="Q58" s="6"/>
      <c r="R58" s="6"/>
      <c r="S58" s="39"/>
      <c r="T58" s="39"/>
      <c r="U58" s="6"/>
      <c r="V58" s="1"/>
      <c r="W58" s="6"/>
      <c r="X58" s="6"/>
      <c r="Y58" s="6"/>
      <c r="Z58" s="6"/>
    </row>
    <row r="59" spans="1:26" s="5" customFormat="1" x14ac:dyDescent="0.35">
      <c r="A59" s="9"/>
      <c r="B59" s="12"/>
      <c r="C59" s="2"/>
      <c r="D59" s="8"/>
      <c r="E59" s="6"/>
      <c r="F59" s="1"/>
      <c r="G59" s="1"/>
      <c r="H59" s="6"/>
      <c r="I59" s="11"/>
      <c r="J59" s="6"/>
      <c r="K59" s="1"/>
      <c r="L59" s="6"/>
      <c r="M59" s="6"/>
      <c r="N59" s="11"/>
      <c r="O59" s="1"/>
      <c r="P59" s="6"/>
      <c r="Q59" s="6"/>
      <c r="R59" s="6"/>
      <c r="S59" s="39"/>
      <c r="T59" s="39"/>
      <c r="U59" s="6"/>
      <c r="V59" s="1"/>
      <c r="W59" s="6"/>
      <c r="X59" s="6"/>
      <c r="Y59" s="6"/>
      <c r="Z59" s="6"/>
    </row>
    <row r="60" spans="1:26" s="5" customFormat="1" x14ac:dyDescent="0.35">
      <c r="A60" s="9"/>
      <c r="B60" s="12"/>
      <c r="C60" s="2"/>
      <c r="D60" s="8"/>
      <c r="E60" s="6"/>
      <c r="F60" s="1"/>
      <c r="G60" s="1"/>
      <c r="H60" s="6"/>
      <c r="I60" s="11"/>
      <c r="J60" s="6"/>
      <c r="K60" s="1"/>
      <c r="L60" s="6"/>
      <c r="M60" s="6"/>
      <c r="N60" s="11"/>
      <c r="O60" s="1"/>
      <c r="P60" s="6"/>
      <c r="Q60" s="6"/>
      <c r="R60" s="6"/>
      <c r="S60" s="39"/>
      <c r="T60" s="39"/>
      <c r="U60" s="6"/>
      <c r="V60" s="1"/>
      <c r="W60" s="6"/>
      <c r="X60" s="6"/>
      <c r="Y60" s="6"/>
      <c r="Z60" s="6"/>
    </row>
    <row r="61" spans="1:26" s="5" customFormat="1" x14ac:dyDescent="0.35">
      <c r="A61" s="9"/>
      <c r="B61" s="12"/>
      <c r="C61" s="2"/>
      <c r="D61" s="8"/>
      <c r="E61" s="6"/>
      <c r="F61" s="1"/>
      <c r="G61" s="1"/>
      <c r="H61" s="6"/>
      <c r="I61" s="11"/>
      <c r="J61" s="6"/>
      <c r="K61" s="1"/>
      <c r="L61" s="6"/>
      <c r="M61" s="6"/>
      <c r="N61" s="11"/>
      <c r="O61" s="1"/>
      <c r="P61" s="6"/>
      <c r="Q61" s="6"/>
      <c r="R61" s="6"/>
      <c r="S61" s="39"/>
      <c r="T61" s="39"/>
      <c r="U61" s="6"/>
      <c r="V61" s="1"/>
      <c r="W61" s="6"/>
      <c r="X61" s="6"/>
      <c r="Y61" s="6"/>
      <c r="Z61" s="6"/>
    </row>
    <row r="62" spans="1:26" s="5" customFormat="1" x14ac:dyDescent="0.35">
      <c r="A62" s="9"/>
      <c r="B62" s="12"/>
      <c r="C62" s="2"/>
      <c r="D62" s="8"/>
      <c r="E62" s="6"/>
      <c r="F62" s="1"/>
      <c r="G62" s="1"/>
      <c r="H62" s="6"/>
      <c r="I62" s="11"/>
      <c r="J62" s="6"/>
      <c r="K62" s="1"/>
      <c r="L62" s="6"/>
      <c r="M62" s="6"/>
      <c r="N62" s="11"/>
      <c r="O62" s="1"/>
      <c r="P62" s="6"/>
      <c r="Q62" s="6"/>
      <c r="R62" s="6"/>
      <c r="S62" s="39"/>
      <c r="T62" s="39"/>
      <c r="U62" s="6"/>
      <c r="V62" s="1"/>
      <c r="W62" s="6"/>
      <c r="X62" s="6"/>
      <c r="Y62" s="6"/>
      <c r="Z62" s="6"/>
    </row>
    <row r="63" spans="1:26" s="5" customFormat="1" x14ac:dyDescent="0.35">
      <c r="A63" s="9"/>
      <c r="B63" s="12"/>
      <c r="C63" s="2"/>
      <c r="D63" s="8"/>
      <c r="E63" s="6"/>
      <c r="F63" s="1"/>
      <c r="G63" s="1"/>
      <c r="H63" s="6"/>
      <c r="I63" s="11"/>
      <c r="J63" s="6"/>
      <c r="K63" s="1"/>
      <c r="L63" s="6"/>
      <c r="M63" s="6"/>
      <c r="N63" s="11"/>
      <c r="O63" s="1"/>
      <c r="P63" s="6"/>
      <c r="Q63" s="6"/>
      <c r="R63" s="6"/>
      <c r="S63" s="39"/>
      <c r="T63" s="39"/>
      <c r="U63" s="6"/>
      <c r="V63" s="1"/>
      <c r="W63" s="6"/>
      <c r="X63" s="6"/>
      <c r="Y63" s="6"/>
      <c r="Z63" s="6"/>
    </row>
    <row r="64" spans="1:26" s="5" customFormat="1" x14ac:dyDescent="0.35">
      <c r="A64" s="9"/>
      <c r="B64" s="12"/>
      <c r="C64" s="2"/>
      <c r="D64" s="8"/>
      <c r="E64" s="6"/>
      <c r="F64" s="1"/>
      <c r="G64" s="1"/>
      <c r="H64" s="6"/>
      <c r="I64" s="11"/>
      <c r="J64" s="6"/>
      <c r="K64" s="1"/>
      <c r="L64" s="6"/>
      <c r="M64" s="6"/>
      <c r="N64" s="11"/>
      <c r="O64" s="1"/>
      <c r="P64" s="6"/>
      <c r="Q64" s="6"/>
      <c r="R64" s="6"/>
      <c r="S64" s="39"/>
      <c r="T64" s="39"/>
      <c r="U64" s="6"/>
      <c r="V64" s="1"/>
      <c r="W64" s="6"/>
      <c r="X64" s="6"/>
      <c r="Y64" s="6"/>
      <c r="Z64" s="6"/>
    </row>
    <row r="65" spans="1:26" s="5" customFormat="1" x14ac:dyDescent="0.35">
      <c r="A65" s="9"/>
      <c r="B65" s="12"/>
      <c r="C65" s="2"/>
      <c r="D65" s="8"/>
      <c r="E65" s="6"/>
      <c r="F65" s="1"/>
      <c r="G65" s="1"/>
      <c r="H65" s="6"/>
      <c r="I65" s="11"/>
      <c r="J65" s="6"/>
      <c r="K65" s="1"/>
      <c r="L65" s="6"/>
      <c r="M65" s="6"/>
      <c r="N65" s="11"/>
      <c r="O65" s="1"/>
      <c r="P65" s="6"/>
      <c r="Q65" s="6"/>
      <c r="R65" s="6"/>
      <c r="S65" s="39"/>
      <c r="T65" s="39"/>
      <c r="U65" s="6"/>
      <c r="V65" s="1"/>
      <c r="W65" s="6"/>
      <c r="X65" s="6"/>
      <c r="Y65" s="6"/>
      <c r="Z65" s="6"/>
    </row>
    <row r="66" spans="1:26" s="5" customFormat="1" x14ac:dyDescent="0.35">
      <c r="A66" s="9"/>
      <c r="B66" s="12"/>
      <c r="C66" s="2"/>
      <c r="D66" s="8"/>
      <c r="E66" s="6"/>
      <c r="F66" s="1"/>
      <c r="G66" s="1"/>
      <c r="H66" s="6"/>
      <c r="I66" s="11"/>
      <c r="J66" s="6"/>
      <c r="K66" s="1"/>
      <c r="L66" s="6"/>
      <c r="M66" s="6"/>
      <c r="N66" s="11"/>
      <c r="O66" s="1"/>
      <c r="P66" s="6"/>
      <c r="Q66" s="6"/>
      <c r="R66" s="6"/>
      <c r="S66" s="39"/>
      <c r="T66" s="39"/>
      <c r="U66" s="6"/>
      <c r="V66" s="1"/>
      <c r="W66" s="6"/>
      <c r="X66" s="6"/>
      <c r="Y66" s="6"/>
      <c r="Z66" s="6"/>
    </row>
    <row r="67" spans="1:26" s="5" customFormat="1" x14ac:dyDescent="0.35">
      <c r="A67" s="9"/>
      <c r="B67" s="12"/>
      <c r="C67" s="2"/>
      <c r="D67" s="8"/>
      <c r="E67" s="6"/>
      <c r="F67" s="1"/>
      <c r="G67" s="1"/>
      <c r="H67" s="6"/>
      <c r="I67" s="11"/>
      <c r="J67" s="6"/>
      <c r="K67" s="1"/>
      <c r="L67" s="6"/>
      <c r="M67" s="6"/>
      <c r="N67" s="11"/>
      <c r="O67" s="1"/>
      <c r="P67" s="6"/>
      <c r="Q67" s="6"/>
      <c r="R67" s="6"/>
      <c r="S67" s="39"/>
      <c r="T67" s="39"/>
      <c r="U67" s="6"/>
      <c r="V67" s="1"/>
      <c r="W67" s="6"/>
      <c r="X67" s="6"/>
      <c r="Y67" s="6"/>
      <c r="Z67" s="6"/>
    </row>
    <row r="68" spans="1:26" s="67" customFormat="1" ht="16" thickBot="1" x14ac:dyDescent="0.4">
      <c r="A68" s="62"/>
      <c r="B68" s="63"/>
      <c r="C68" s="64"/>
      <c r="D68" s="65" t="s">
        <v>8</v>
      </c>
      <c r="E68" s="66">
        <f>SUM(E4:E67)</f>
        <v>35700</v>
      </c>
      <c r="F68" s="66">
        <f t="shared" ref="F68:J68" si="0">SUM(F4:F67)</f>
        <v>0</v>
      </c>
      <c r="G68" s="66">
        <f t="shared" si="0"/>
        <v>103553</v>
      </c>
      <c r="H68" s="68">
        <f t="shared" si="0"/>
        <v>1500000</v>
      </c>
      <c r="I68" s="66">
        <f t="shared" si="0"/>
        <v>20000000</v>
      </c>
      <c r="J68" s="66">
        <f t="shared" si="0"/>
        <v>2565000</v>
      </c>
      <c r="K68" s="66">
        <f>SUM(K4:K67)</f>
        <v>105000</v>
      </c>
      <c r="L68" s="66">
        <f t="shared" ref="L68" si="1">SUM(L4:L67)</f>
        <v>206600</v>
      </c>
      <c r="M68" s="66">
        <f t="shared" ref="M68" si="2">SUM(M4:M67)</f>
        <v>0</v>
      </c>
      <c r="N68" s="66">
        <f t="shared" ref="N68" si="3">SUM(N4:N67)</f>
        <v>52400000</v>
      </c>
      <c r="O68" s="66">
        <f t="shared" ref="O68" si="4">SUM(O4:O67)</f>
        <v>34868400</v>
      </c>
      <c r="P68" s="66">
        <f t="shared" ref="P68" si="5">SUM(P4:P67)</f>
        <v>561600</v>
      </c>
      <c r="Q68" s="66">
        <f>SUM(Q4:Q67)</f>
        <v>0</v>
      </c>
      <c r="R68" s="66">
        <f t="shared" ref="R68" si="6">SUM(R4:R67)</f>
        <v>0</v>
      </c>
      <c r="S68" s="66">
        <f t="shared" ref="S68" si="7">SUM(S4:S67)</f>
        <v>40000</v>
      </c>
      <c r="T68" s="66">
        <f t="shared" ref="T68" si="8">SUM(T4:T67)</f>
        <v>0</v>
      </c>
      <c r="U68" s="66">
        <f t="shared" ref="U68" si="9">SUM(U4:U67)</f>
        <v>0</v>
      </c>
      <c r="V68" s="66">
        <f>SUM(V4:V67)</f>
        <v>0</v>
      </c>
      <c r="W68" s="66">
        <f t="shared" ref="W68" si="10">SUM(W4:W67)</f>
        <v>37890.47</v>
      </c>
      <c r="X68" s="66">
        <f t="shared" ref="X68" si="11">SUM(X4:X67)</f>
        <v>855000</v>
      </c>
      <c r="Y68" s="66">
        <f t="shared" ref="Y68" si="12">SUM(Y4:Y67)</f>
        <v>0</v>
      </c>
      <c r="Z68" s="66">
        <f t="shared" ref="Z68" si="13">SUM(Z4:Z67)</f>
        <v>0</v>
      </c>
    </row>
    <row r="69" spans="1:26" s="22" customFormat="1" x14ac:dyDescent="0.35">
      <c r="A69" s="20"/>
      <c r="B69" s="21"/>
      <c r="E69" s="23"/>
      <c r="F69" s="23"/>
      <c r="G69" s="23"/>
      <c r="H69" s="23"/>
      <c r="I69" s="24"/>
      <c r="J69" s="23"/>
      <c r="K69" s="23"/>
      <c r="L69" s="23"/>
      <c r="M69" s="23"/>
      <c r="N69" s="24"/>
      <c r="O69" s="23"/>
      <c r="P69" s="23"/>
      <c r="Q69" s="23"/>
      <c r="R69" s="23"/>
      <c r="S69" s="25"/>
      <c r="T69" s="25"/>
      <c r="U69" s="23"/>
      <c r="V69" s="23"/>
      <c r="W69" s="23"/>
      <c r="X69" s="23"/>
      <c r="Y69" s="23"/>
      <c r="Z69" s="23"/>
    </row>
    <row r="70" spans="1:26" s="26" customFormat="1" ht="16" thickBot="1" x14ac:dyDescent="0.4">
      <c r="B70" s="27"/>
      <c r="E70" s="28"/>
      <c r="F70" s="28"/>
      <c r="G70" s="28"/>
      <c r="H70" s="28"/>
      <c r="I70" s="29"/>
      <c r="J70" s="28"/>
      <c r="K70" s="28"/>
      <c r="L70" s="28"/>
      <c r="M70" s="28"/>
      <c r="N70" s="29"/>
      <c r="O70" s="28"/>
      <c r="P70" s="28"/>
      <c r="Q70" s="28"/>
      <c r="R70" s="28"/>
      <c r="S70" s="30"/>
      <c r="T70" s="30"/>
      <c r="U70" s="28"/>
      <c r="V70" s="28"/>
      <c r="W70" s="28"/>
      <c r="X70" s="28"/>
      <c r="Y70" s="28"/>
      <c r="Z70" s="28"/>
    </row>
    <row r="71" spans="1:26" s="26" customFormat="1" ht="22.5" x14ac:dyDescent="0.45">
      <c r="B71" s="27"/>
      <c r="C71" s="80" t="s">
        <v>93</v>
      </c>
      <c r="D71" s="81"/>
      <c r="E71" s="81"/>
      <c r="F71" s="82"/>
      <c r="G71" s="28"/>
      <c r="H71" s="28"/>
      <c r="I71" s="29"/>
      <c r="J71" s="28"/>
      <c r="K71" s="28"/>
      <c r="L71" s="28"/>
      <c r="M71" s="28"/>
      <c r="N71" s="29"/>
      <c r="O71" s="28"/>
      <c r="P71" s="28"/>
      <c r="Q71" s="28"/>
      <c r="R71" s="28"/>
      <c r="S71" s="30"/>
      <c r="T71" s="30"/>
      <c r="U71" s="28"/>
      <c r="V71" s="28"/>
      <c r="W71" s="28"/>
      <c r="X71" s="28"/>
      <c r="Y71" s="28"/>
      <c r="Z71" s="28"/>
    </row>
    <row r="72" spans="1:26" s="26" customFormat="1" x14ac:dyDescent="0.35">
      <c r="B72" s="27"/>
      <c r="C72" s="36" t="s">
        <v>1</v>
      </c>
      <c r="D72" s="53" t="s">
        <v>9</v>
      </c>
      <c r="E72" s="39" t="s">
        <v>28</v>
      </c>
      <c r="F72" s="45" t="s">
        <v>4</v>
      </c>
      <c r="G72" s="28"/>
      <c r="H72" s="28"/>
      <c r="I72" s="29"/>
      <c r="J72" s="28"/>
      <c r="K72" s="28"/>
      <c r="L72" s="28"/>
      <c r="M72" s="28"/>
      <c r="N72" s="29"/>
      <c r="O72" s="28"/>
      <c r="P72" s="28"/>
      <c r="Q72" s="28"/>
      <c r="R72" s="28"/>
      <c r="S72" s="30"/>
      <c r="T72" s="30"/>
      <c r="U72" s="28"/>
      <c r="V72" s="28"/>
      <c r="W72" s="28"/>
      <c r="X72" s="28"/>
      <c r="Y72" s="28"/>
      <c r="Z72" s="28"/>
    </row>
    <row r="73" spans="1:26" s="26" customFormat="1" x14ac:dyDescent="0.35">
      <c r="B73" s="27"/>
      <c r="C73" s="37">
        <v>1</v>
      </c>
      <c r="D73" s="10" t="s">
        <v>29</v>
      </c>
      <c r="E73" s="47">
        <f>SUM(E68)</f>
        <v>35700</v>
      </c>
      <c r="F73" s="45"/>
      <c r="G73" s="28"/>
      <c r="H73" s="28"/>
      <c r="I73" s="29"/>
      <c r="J73" s="28"/>
      <c r="K73" s="28"/>
      <c r="L73" s="28"/>
      <c r="M73" s="28"/>
      <c r="N73" s="29"/>
      <c r="O73" s="28"/>
      <c r="P73" s="28"/>
      <c r="Q73" s="28"/>
      <c r="R73" s="28"/>
      <c r="S73" s="30"/>
      <c r="T73" s="30"/>
      <c r="U73" s="28"/>
      <c r="V73" s="28"/>
      <c r="W73" s="28"/>
      <c r="X73" s="28"/>
      <c r="Y73" s="28"/>
      <c r="Z73" s="28"/>
    </row>
    <row r="74" spans="1:26" s="26" customFormat="1" x14ac:dyDescent="0.35">
      <c r="B74" s="27"/>
      <c r="C74" s="37">
        <v>2</v>
      </c>
      <c r="D74" s="10" t="s">
        <v>58</v>
      </c>
      <c r="E74" s="47">
        <f>SUM(F68)</f>
        <v>0</v>
      </c>
      <c r="F74" s="45"/>
      <c r="G74" s="28"/>
      <c r="H74" s="28"/>
      <c r="I74" s="29"/>
      <c r="J74" s="28"/>
      <c r="K74" s="28"/>
      <c r="L74" s="28"/>
      <c r="M74" s="28"/>
      <c r="N74" s="29"/>
      <c r="O74" s="28"/>
      <c r="P74" s="28"/>
      <c r="Q74" s="28"/>
      <c r="R74" s="28"/>
      <c r="S74" s="30"/>
      <c r="T74" s="30"/>
      <c r="U74" s="28"/>
      <c r="V74" s="28"/>
      <c r="W74" s="28"/>
      <c r="X74" s="28"/>
      <c r="Y74" s="28"/>
      <c r="Z74" s="28"/>
    </row>
    <row r="75" spans="1:26" s="26" customFormat="1" x14ac:dyDescent="0.35">
      <c r="B75" s="27"/>
      <c r="C75" s="37">
        <v>3</v>
      </c>
      <c r="D75" s="10" t="s">
        <v>31</v>
      </c>
      <c r="E75" s="47">
        <f>SUM(G68)</f>
        <v>103553</v>
      </c>
      <c r="F75" s="45"/>
      <c r="G75" s="28"/>
      <c r="H75" s="28"/>
      <c r="I75" s="29"/>
      <c r="J75" s="28"/>
      <c r="K75" s="28"/>
      <c r="L75" s="28"/>
      <c r="M75" s="28"/>
      <c r="N75" s="29"/>
      <c r="O75" s="28"/>
      <c r="P75" s="28"/>
      <c r="Q75" s="28"/>
      <c r="R75" s="28"/>
      <c r="S75" s="30"/>
      <c r="T75" s="30"/>
      <c r="U75" s="28"/>
      <c r="V75" s="28"/>
      <c r="W75" s="28"/>
      <c r="X75" s="28"/>
      <c r="Y75" s="28"/>
      <c r="Z75" s="28"/>
    </row>
    <row r="76" spans="1:26" s="26" customFormat="1" x14ac:dyDescent="0.35">
      <c r="B76" s="27"/>
      <c r="C76" s="37">
        <v>4</v>
      </c>
      <c r="D76" s="10" t="s">
        <v>30</v>
      </c>
      <c r="E76" s="47"/>
      <c r="F76" s="46">
        <f>SUM(I68)</f>
        <v>20000000</v>
      </c>
      <c r="G76" s="28"/>
      <c r="H76" s="28"/>
      <c r="I76" s="29"/>
      <c r="J76" s="28"/>
      <c r="K76" s="28"/>
      <c r="L76" s="28"/>
      <c r="M76" s="28"/>
      <c r="N76" s="29"/>
      <c r="O76" s="28"/>
      <c r="P76" s="28"/>
      <c r="Q76" s="28"/>
      <c r="R76" s="28"/>
      <c r="S76" s="30"/>
      <c r="T76" s="30"/>
      <c r="U76" s="28"/>
      <c r="V76" s="28"/>
      <c r="W76" s="28"/>
      <c r="X76" s="28"/>
      <c r="Y76" s="28"/>
      <c r="Z76" s="28"/>
    </row>
    <row r="77" spans="1:26" s="26" customFormat="1" x14ac:dyDescent="0.35">
      <c r="B77" s="27"/>
      <c r="C77" s="37">
        <v>5</v>
      </c>
      <c r="D77" s="10" t="s">
        <v>32</v>
      </c>
      <c r="E77" s="47">
        <f>SUM(J68)</f>
        <v>2565000</v>
      </c>
      <c r="F77" s="45"/>
      <c r="G77" s="28"/>
      <c r="H77" s="28"/>
      <c r="I77" s="29"/>
      <c r="J77" s="28"/>
      <c r="K77" s="28"/>
      <c r="L77" s="28"/>
      <c r="M77" s="28"/>
      <c r="N77" s="29"/>
      <c r="O77" s="28"/>
      <c r="P77" s="28"/>
      <c r="Q77" s="28"/>
      <c r="R77" s="28"/>
      <c r="S77" s="30"/>
      <c r="T77" s="30"/>
      <c r="U77" s="28"/>
      <c r="V77" s="28"/>
      <c r="W77" s="28"/>
      <c r="X77" s="28"/>
      <c r="Y77" s="28"/>
      <c r="Z77" s="28"/>
    </row>
    <row r="78" spans="1:26" s="26" customFormat="1" x14ac:dyDescent="0.35">
      <c r="B78" s="27"/>
      <c r="C78" s="37">
        <v>6</v>
      </c>
      <c r="D78" s="10" t="s">
        <v>11</v>
      </c>
      <c r="E78" s="47">
        <f>SUM(K68)</f>
        <v>105000</v>
      </c>
      <c r="F78" s="45"/>
      <c r="G78" s="28"/>
      <c r="H78" s="28"/>
      <c r="I78" s="29"/>
      <c r="J78" s="28"/>
      <c r="K78" s="28"/>
      <c r="L78" s="28"/>
      <c r="M78" s="28"/>
      <c r="N78" s="29"/>
      <c r="O78" s="28"/>
      <c r="P78" s="28"/>
      <c r="Q78" s="28"/>
      <c r="R78" s="28"/>
      <c r="S78" s="30"/>
      <c r="T78" s="30"/>
      <c r="U78" s="28"/>
      <c r="V78" s="28"/>
      <c r="W78" s="28"/>
      <c r="X78" s="28"/>
      <c r="Y78" s="28"/>
      <c r="Z78" s="28"/>
    </row>
    <row r="79" spans="1:26" s="26" customFormat="1" x14ac:dyDescent="0.35">
      <c r="B79" s="27"/>
      <c r="C79" s="37">
        <v>7</v>
      </c>
      <c r="D79" s="10" t="s">
        <v>33</v>
      </c>
      <c r="E79" s="47">
        <f>SUM(L68)</f>
        <v>206600</v>
      </c>
      <c r="F79" s="45"/>
      <c r="G79" s="28"/>
      <c r="H79" s="28"/>
      <c r="I79" s="29"/>
      <c r="J79" s="28"/>
      <c r="K79" s="28"/>
      <c r="L79" s="28"/>
      <c r="M79" s="28"/>
      <c r="N79" s="29"/>
      <c r="O79" s="28"/>
      <c r="P79" s="28"/>
      <c r="Q79" s="28"/>
      <c r="R79" s="28"/>
      <c r="S79" s="30"/>
      <c r="T79" s="30"/>
      <c r="U79" s="28"/>
      <c r="V79" s="28"/>
      <c r="W79" s="28"/>
      <c r="X79" s="28"/>
      <c r="Y79" s="28"/>
      <c r="Z79" s="28"/>
    </row>
    <row r="80" spans="1:26" s="34" customFormat="1" x14ac:dyDescent="0.35">
      <c r="A80" s="31"/>
      <c r="B80" s="27"/>
      <c r="C80" s="37">
        <v>8</v>
      </c>
      <c r="D80" s="10" t="s">
        <v>34</v>
      </c>
      <c r="E80" s="1">
        <f>SUM(M68)</f>
        <v>0</v>
      </c>
      <c r="F80" s="43"/>
      <c r="G80" s="32"/>
      <c r="H80" s="32"/>
      <c r="I80" s="33"/>
      <c r="J80" s="32"/>
      <c r="K80" s="32"/>
      <c r="L80" s="32"/>
      <c r="M80" s="32"/>
      <c r="N80" s="33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spans="1:26" s="34" customFormat="1" x14ac:dyDescent="0.35">
      <c r="A81" s="31"/>
      <c r="B81" s="27"/>
      <c r="C81" s="37">
        <v>9</v>
      </c>
      <c r="D81" s="10" t="s">
        <v>53</v>
      </c>
      <c r="E81" s="1"/>
      <c r="F81" s="43">
        <f>SUM(N68)</f>
        <v>52400000</v>
      </c>
      <c r="G81" s="32"/>
      <c r="H81" s="32"/>
      <c r="I81" s="33"/>
      <c r="J81" s="32"/>
      <c r="K81" s="32"/>
      <c r="L81" s="32"/>
      <c r="M81" s="32"/>
      <c r="N81" s="33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spans="1:26" s="34" customFormat="1" x14ac:dyDescent="0.35">
      <c r="A82" s="31"/>
      <c r="B82" s="27"/>
      <c r="C82" s="37">
        <v>10</v>
      </c>
      <c r="D82" s="10" t="s">
        <v>57</v>
      </c>
      <c r="E82" s="1">
        <f>SUM(O68)</f>
        <v>34868400</v>
      </c>
      <c r="F82" s="43"/>
      <c r="G82" s="32"/>
      <c r="H82" s="32"/>
      <c r="I82" s="33"/>
      <c r="J82" s="32"/>
      <c r="K82" s="32"/>
      <c r="L82" s="32"/>
      <c r="M82" s="32"/>
      <c r="N82" s="33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spans="1:26" s="34" customFormat="1" x14ac:dyDescent="0.35">
      <c r="A83" s="31"/>
      <c r="B83" s="27"/>
      <c r="C83" s="37">
        <v>11</v>
      </c>
      <c r="D83" s="10" t="s">
        <v>35</v>
      </c>
      <c r="E83" s="1">
        <f>SUM(P68)</f>
        <v>561600</v>
      </c>
      <c r="F83" s="43"/>
      <c r="G83" s="32"/>
      <c r="H83" s="32"/>
      <c r="I83" s="33"/>
      <c r="J83" s="32"/>
      <c r="K83" s="32"/>
      <c r="L83" s="32"/>
      <c r="M83" s="32"/>
      <c r="N83" s="33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spans="1:26" s="34" customFormat="1" x14ac:dyDescent="0.35">
      <c r="A84" s="31"/>
      <c r="B84" s="27"/>
      <c r="C84" s="37">
        <v>12</v>
      </c>
      <c r="D84" s="10" t="s">
        <v>36</v>
      </c>
      <c r="E84" s="1">
        <f>SUM(Q68)</f>
        <v>0</v>
      </c>
      <c r="F84" s="43"/>
      <c r="G84" s="32"/>
      <c r="H84" s="32"/>
      <c r="I84" s="33"/>
      <c r="J84" s="32"/>
      <c r="K84" s="32"/>
      <c r="L84" s="32"/>
      <c r="M84" s="32"/>
      <c r="N84" s="33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spans="1:26" s="34" customFormat="1" x14ac:dyDescent="0.35">
      <c r="A85" s="31"/>
      <c r="B85" s="27"/>
      <c r="C85" s="37">
        <v>13</v>
      </c>
      <c r="D85" s="10" t="s">
        <v>44</v>
      </c>
      <c r="E85" s="1">
        <f>SUM(R68)</f>
        <v>0</v>
      </c>
      <c r="F85" s="43"/>
      <c r="G85" s="32"/>
      <c r="H85" s="32"/>
      <c r="I85" s="33"/>
      <c r="J85" s="32"/>
      <c r="K85" s="32"/>
      <c r="L85" s="32"/>
      <c r="M85" s="32"/>
      <c r="N85" s="33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spans="1:26" s="34" customFormat="1" x14ac:dyDescent="0.35">
      <c r="A86" s="31"/>
      <c r="B86" s="27"/>
      <c r="C86" s="37">
        <v>14</v>
      </c>
      <c r="D86" s="10" t="s">
        <v>42</v>
      </c>
      <c r="E86" s="1">
        <f>SUM(S68)</f>
        <v>40000</v>
      </c>
      <c r="F86" s="43"/>
      <c r="G86" s="32"/>
      <c r="H86" s="32"/>
      <c r="I86" s="33"/>
      <c r="J86" s="32"/>
      <c r="K86" s="32"/>
      <c r="L86" s="32"/>
      <c r="M86" s="32"/>
      <c r="N86" s="33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spans="1:26" s="34" customFormat="1" x14ac:dyDescent="0.35">
      <c r="A87" s="31"/>
      <c r="B87" s="27"/>
      <c r="C87" s="37">
        <v>15</v>
      </c>
      <c r="D87" s="10" t="s">
        <v>37</v>
      </c>
      <c r="E87" s="1">
        <f>SUM(U68)</f>
        <v>0</v>
      </c>
      <c r="F87" s="43"/>
      <c r="G87" s="32"/>
      <c r="H87" s="32"/>
      <c r="I87" s="33"/>
      <c r="J87" s="32"/>
      <c r="K87" s="32"/>
      <c r="L87" s="32"/>
      <c r="M87" s="32"/>
      <c r="N87" s="33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spans="1:26" s="34" customFormat="1" x14ac:dyDescent="0.35">
      <c r="A88" s="31"/>
      <c r="B88" s="27"/>
      <c r="C88" s="37">
        <v>16</v>
      </c>
      <c r="D88" s="10" t="s">
        <v>38</v>
      </c>
      <c r="E88" s="1">
        <f>SUM(V68)</f>
        <v>0</v>
      </c>
      <c r="F88" s="43"/>
      <c r="G88" s="32"/>
      <c r="H88" s="32"/>
      <c r="I88" s="33"/>
      <c r="J88" s="32"/>
      <c r="K88" s="32"/>
      <c r="L88" s="32"/>
      <c r="M88" s="32"/>
      <c r="N88" s="33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spans="1:26" s="34" customFormat="1" x14ac:dyDescent="0.35">
      <c r="A89" s="31"/>
      <c r="B89" s="27"/>
      <c r="C89" s="37">
        <v>17</v>
      </c>
      <c r="D89" s="10" t="s">
        <v>51</v>
      </c>
      <c r="E89" s="1">
        <f>SUM(T68)</f>
        <v>0</v>
      </c>
      <c r="F89" s="43"/>
      <c r="G89" s="32"/>
      <c r="H89" s="32"/>
      <c r="I89" s="33"/>
      <c r="J89" s="32"/>
      <c r="K89" s="32"/>
      <c r="L89" s="32"/>
      <c r="M89" s="32"/>
      <c r="N89" s="33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spans="1:26" s="34" customFormat="1" x14ac:dyDescent="0.35">
      <c r="A90" s="31"/>
      <c r="B90" s="27"/>
      <c r="C90" s="37">
        <v>18</v>
      </c>
      <c r="D90" s="10" t="s">
        <v>92</v>
      </c>
      <c r="E90" s="1">
        <f>SUM(W68)</f>
        <v>37890.47</v>
      </c>
      <c r="F90" s="43"/>
      <c r="G90" s="32"/>
      <c r="H90" s="32"/>
      <c r="I90" s="33"/>
      <c r="J90" s="32"/>
      <c r="K90" s="32"/>
      <c r="L90" s="32"/>
      <c r="M90" s="32"/>
      <c r="N90" s="33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spans="1:26" s="34" customFormat="1" x14ac:dyDescent="0.35">
      <c r="A91" s="31"/>
      <c r="B91" s="27"/>
      <c r="C91" s="37">
        <v>19</v>
      </c>
      <c r="D91" s="10" t="s">
        <v>40</v>
      </c>
      <c r="E91" s="1">
        <f>SUM(X68)</f>
        <v>855000</v>
      </c>
      <c r="F91" s="43"/>
      <c r="G91" s="32"/>
      <c r="H91" s="32"/>
      <c r="I91" s="33"/>
      <c r="J91" s="32"/>
      <c r="K91" s="32"/>
      <c r="L91" s="32"/>
      <c r="M91" s="32"/>
      <c r="N91" s="33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spans="1:26" s="34" customFormat="1" x14ac:dyDescent="0.35">
      <c r="A92" s="31"/>
      <c r="B92" s="27"/>
      <c r="C92" s="37">
        <v>20</v>
      </c>
      <c r="D92" s="10" t="s">
        <v>41</v>
      </c>
      <c r="E92" s="1">
        <f>SUM(Y68)</f>
        <v>0</v>
      </c>
      <c r="F92" s="43"/>
      <c r="G92" s="32"/>
      <c r="H92" s="32"/>
      <c r="I92" s="33"/>
      <c r="J92" s="32"/>
      <c r="K92" s="32"/>
      <c r="L92" s="32"/>
      <c r="M92" s="32"/>
      <c r="N92" s="33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spans="1:26" s="34" customFormat="1" x14ac:dyDescent="0.35">
      <c r="A93" s="31"/>
      <c r="B93" s="27"/>
      <c r="C93" s="37">
        <v>21</v>
      </c>
      <c r="D93" s="10" t="s">
        <v>43</v>
      </c>
      <c r="E93" s="1">
        <f>SUM(H68)</f>
        <v>1500000</v>
      </c>
      <c r="F93" s="43"/>
      <c r="G93" s="32"/>
      <c r="H93" s="32"/>
      <c r="I93" s="33"/>
      <c r="J93" s="32"/>
      <c r="K93" s="32"/>
      <c r="L93" s="32"/>
      <c r="M93" s="32"/>
      <c r="N93" s="33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spans="1:26" s="34" customFormat="1" x14ac:dyDescent="0.35">
      <c r="A94" s="31"/>
      <c r="B94" s="27"/>
      <c r="C94" s="37">
        <v>22</v>
      </c>
      <c r="D94" s="10" t="s">
        <v>60</v>
      </c>
      <c r="E94" s="1">
        <f>SUM(Z68)</f>
        <v>0</v>
      </c>
      <c r="F94" s="43"/>
      <c r="G94" s="32"/>
      <c r="H94" s="32"/>
      <c r="I94" s="33"/>
      <c r="J94" s="32"/>
      <c r="K94" s="32"/>
      <c r="L94" s="32"/>
      <c r="M94" s="32"/>
      <c r="N94" s="33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spans="1:26" s="34" customFormat="1" ht="20" x14ac:dyDescent="0.4">
      <c r="A95" s="31"/>
      <c r="B95" s="27"/>
      <c r="C95" s="37"/>
      <c r="D95" s="18" t="s">
        <v>8</v>
      </c>
      <c r="E95" s="19">
        <f>SUM(E73:E93)</f>
        <v>40878743.469999999</v>
      </c>
      <c r="F95" s="44">
        <f>SUM(F73:F92)</f>
        <v>72400000</v>
      </c>
      <c r="G95" s="32"/>
      <c r="H95" s="32"/>
      <c r="I95" s="33"/>
      <c r="J95" s="32"/>
      <c r="K95" s="32"/>
      <c r="L95" s="32"/>
      <c r="M95" s="32"/>
      <c r="N95" s="33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spans="1:26" s="34" customFormat="1" ht="20.5" thickBot="1" x14ac:dyDescent="0.45">
      <c r="A96" s="31"/>
      <c r="B96" s="27"/>
      <c r="C96" s="3"/>
      <c r="D96" s="38" t="s">
        <v>54</v>
      </c>
      <c r="E96" s="83">
        <f>SUM(F95-E95)</f>
        <v>31521256.530000001</v>
      </c>
      <c r="F96" s="84"/>
      <c r="G96" s="32"/>
      <c r="H96" s="32"/>
      <c r="I96" s="33"/>
      <c r="J96" s="32"/>
      <c r="K96" s="32"/>
      <c r="L96" s="32"/>
      <c r="M96" s="32"/>
      <c r="N96" s="33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spans="1:26" s="34" customFormat="1" x14ac:dyDescent="0.35">
      <c r="A97" s="31"/>
      <c r="B97" s="27"/>
      <c r="C97" s="35"/>
      <c r="E97" s="32"/>
      <c r="F97" s="32"/>
      <c r="G97" s="32"/>
      <c r="H97" s="32"/>
      <c r="I97" s="33"/>
      <c r="J97" s="32"/>
      <c r="K97" s="32"/>
      <c r="L97" s="32"/>
      <c r="M97" s="32"/>
      <c r="N97" s="33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spans="1:26" s="34" customFormat="1" x14ac:dyDescent="0.35">
      <c r="A98" s="31"/>
      <c r="B98" s="27"/>
      <c r="C98" s="35"/>
      <c r="E98" s="32"/>
      <c r="F98" s="32"/>
      <c r="G98" s="32"/>
      <c r="H98" s="32"/>
      <c r="I98" s="33"/>
      <c r="J98" s="32"/>
      <c r="K98" s="32"/>
      <c r="L98" s="32"/>
      <c r="M98" s="32"/>
      <c r="N98" s="33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spans="1:26" s="34" customFormat="1" x14ac:dyDescent="0.35">
      <c r="A99" s="31"/>
      <c r="B99" s="27"/>
      <c r="C99" s="35"/>
      <c r="E99" s="32"/>
      <c r="F99" s="32"/>
      <c r="G99" s="32"/>
      <c r="H99" s="32"/>
      <c r="I99" s="33"/>
      <c r="J99" s="32"/>
      <c r="K99" s="32"/>
      <c r="L99" s="32"/>
      <c r="M99" s="32"/>
      <c r="N99" s="33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spans="1:26" s="34" customFormat="1" x14ac:dyDescent="0.35">
      <c r="A100" s="31"/>
      <c r="B100" s="27"/>
      <c r="C100" s="35"/>
      <c r="E100" s="32"/>
      <c r="F100" s="32"/>
      <c r="G100" s="32"/>
      <c r="H100" s="32"/>
      <c r="I100" s="33"/>
      <c r="J100" s="32"/>
      <c r="K100" s="32"/>
      <c r="L100" s="32"/>
      <c r="M100" s="32"/>
      <c r="N100" s="33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spans="1:26" s="34" customFormat="1" x14ac:dyDescent="0.35">
      <c r="A101" s="31"/>
      <c r="B101" s="27"/>
      <c r="C101" s="35"/>
      <c r="E101" s="32"/>
      <c r="F101" s="32"/>
      <c r="G101" s="32"/>
      <c r="H101" s="32"/>
      <c r="I101" s="33"/>
      <c r="J101" s="32"/>
      <c r="K101" s="32"/>
      <c r="L101" s="32"/>
      <c r="M101" s="32"/>
      <c r="N101" s="33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spans="1:26" s="34" customFormat="1" x14ac:dyDescent="0.35">
      <c r="A102" s="31"/>
      <c r="B102" s="27"/>
      <c r="C102" s="35"/>
      <c r="E102" s="32"/>
      <c r="F102" s="32"/>
      <c r="G102" s="32"/>
      <c r="H102" s="32"/>
      <c r="I102" s="33"/>
      <c r="J102" s="32"/>
      <c r="K102" s="32"/>
      <c r="L102" s="32"/>
      <c r="M102" s="32"/>
      <c r="N102" s="33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spans="1:26" s="34" customFormat="1" x14ac:dyDescent="0.35">
      <c r="A103" s="31"/>
      <c r="B103" s="27"/>
      <c r="C103" s="35"/>
      <c r="E103" s="32"/>
      <c r="F103" s="32"/>
      <c r="G103" s="32"/>
      <c r="H103" s="32"/>
      <c r="I103" s="33"/>
      <c r="J103" s="32"/>
      <c r="K103" s="32"/>
      <c r="L103" s="32"/>
      <c r="M103" s="32"/>
      <c r="N103" s="33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spans="1:26" s="34" customFormat="1" x14ac:dyDescent="0.35">
      <c r="A104" s="31"/>
      <c r="B104" s="27"/>
      <c r="C104" s="35"/>
      <c r="E104" s="32"/>
      <c r="F104" s="32"/>
      <c r="G104" s="32"/>
      <c r="H104" s="32"/>
      <c r="I104" s="33"/>
      <c r="J104" s="32"/>
      <c r="K104" s="32"/>
      <c r="L104" s="32"/>
      <c r="M104" s="32"/>
      <c r="N104" s="33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spans="1:26" s="34" customFormat="1" x14ac:dyDescent="0.35">
      <c r="A105" s="31"/>
      <c r="B105" s="27"/>
      <c r="C105" s="35"/>
      <c r="E105" s="32"/>
      <c r="F105" s="32"/>
      <c r="G105" s="32"/>
      <c r="H105" s="32"/>
      <c r="I105" s="33"/>
      <c r="J105" s="32"/>
      <c r="K105" s="32"/>
      <c r="L105" s="32"/>
      <c r="M105" s="32"/>
      <c r="N105" s="33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spans="1:26" s="34" customFormat="1" x14ac:dyDescent="0.35">
      <c r="A106" s="31"/>
      <c r="B106" s="27"/>
      <c r="C106" s="35"/>
      <c r="E106" s="32"/>
      <c r="F106" s="32"/>
      <c r="G106" s="32"/>
      <c r="H106" s="32"/>
      <c r="I106" s="33"/>
      <c r="J106" s="32"/>
      <c r="K106" s="32"/>
      <c r="L106" s="32"/>
      <c r="M106" s="32"/>
      <c r="N106" s="33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spans="1:26" s="34" customFormat="1" x14ac:dyDescent="0.35">
      <c r="A107" s="31"/>
      <c r="B107" s="27"/>
      <c r="C107" s="35"/>
      <c r="E107" s="32"/>
      <c r="F107" s="32"/>
      <c r="G107" s="32"/>
      <c r="H107" s="32"/>
      <c r="I107" s="33"/>
      <c r="J107" s="32"/>
      <c r="K107" s="32"/>
      <c r="L107" s="32"/>
      <c r="M107" s="32"/>
      <c r="N107" s="33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spans="1:26" s="34" customFormat="1" x14ac:dyDescent="0.35">
      <c r="A108" s="31"/>
      <c r="B108" s="27"/>
      <c r="C108" s="35"/>
      <c r="E108" s="32"/>
      <c r="F108" s="32"/>
      <c r="G108" s="32"/>
      <c r="H108" s="32"/>
      <c r="I108" s="33"/>
      <c r="J108" s="32"/>
      <c r="K108" s="32"/>
      <c r="L108" s="32"/>
      <c r="M108" s="32"/>
      <c r="N108" s="33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spans="1:26" s="34" customFormat="1" x14ac:dyDescent="0.35">
      <c r="A109" s="31"/>
      <c r="B109" s="27"/>
      <c r="C109" s="35"/>
      <c r="E109" s="32"/>
      <c r="F109" s="32"/>
      <c r="G109" s="32"/>
      <c r="H109" s="32"/>
      <c r="I109" s="33"/>
      <c r="J109" s="32"/>
      <c r="K109" s="32"/>
      <c r="L109" s="32"/>
      <c r="M109" s="32"/>
      <c r="N109" s="33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spans="1:26" s="34" customFormat="1" x14ac:dyDescent="0.35">
      <c r="A110" s="31"/>
      <c r="B110" s="27"/>
      <c r="C110" s="35"/>
      <c r="E110" s="32"/>
      <c r="F110" s="32"/>
      <c r="G110" s="32"/>
      <c r="H110" s="32"/>
      <c r="I110" s="33"/>
      <c r="J110" s="32"/>
      <c r="K110" s="32"/>
      <c r="L110" s="32"/>
      <c r="M110" s="32"/>
      <c r="N110" s="33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spans="1:26" s="34" customFormat="1" x14ac:dyDescent="0.35">
      <c r="A111" s="31"/>
      <c r="B111" s="27"/>
      <c r="C111" s="35"/>
      <c r="E111" s="32"/>
      <c r="F111" s="32"/>
      <c r="G111" s="32"/>
      <c r="H111" s="32"/>
      <c r="I111" s="33"/>
      <c r="J111" s="32"/>
      <c r="K111" s="32"/>
      <c r="L111" s="32"/>
      <c r="M111" s="32"/>
      <c r="N111" s="33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spans="1:26" s="34" customFormat="1" x14ac:dyDescent="0.35">
      <c r="A112" s="31"/>
      <c r="B112" s="27"/>
      <c r="C112" s="35"/>
      <c r="E112" s="32"/>
      <c r="F112" s="32"/>
      <c r="G112" s="32"/>
      <c r="H112" s="32"/>
      <c r="I112" s="33"/>
      <c r="J112" s="32"/>
      <c r="K112" s="32"/>
      <c r="L112" s="32"/>
      <c r="M112" s="32"/>
      <c r="N112" s="33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spans="1:26" s="34" customFormat="1" x14ac:dyDescent="0.35">
      <c r="A113" s="31"/>
      <c r="B113" s="27"/>
      <c r="C113" s="35"/>
      <c r="E113" s="32"/>
      <c r="F113" s="32"/>
      <c r="G113" s="32"/>
      <c r="H113" s="32"/>
      <c r="I113" s="33"/>
      <c r="J113" s="32"/>
      <c r="K113" s="32"/>
      <c r="L113" s="32"/>
      <c r="M113" s="32"/>
      <c r="N113" s="33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spans="1:26" s="34" customFormat="1" x14ac:dyDescent="0.35">
      <c r="A114" s="31"/>
      <c r="B114" s="27"/>
      <c r="C114" s="35"/>
      <c r="E114" s="32"/>
      <c r="F114" s="32"/>
      <c r="G114" s="32"/>
      <c r="H114" s="32"/>
      <c r="I114" s="33"/>
      <c r="J114" s="32"/>
      <c r="K114" s="32"/>
      <c r="L114" s="32"/>
      <c r="M114" s="32"/>
      <c r="N114" s="33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spans="1:26" s="34" customFormat="1" x14ac:dyDescent="0.35">
      <c r="A115" s="31"/>
      <c r="B115" s="27"/>
      <c r="C115" s="35"/>
      <c r="E115" s="32"/>
      <c r="F115" s="32"/>
      <c r="G115" s="32"/>
      <c r="H115" s="32"/>
      <c r="I115" s="33"/>
      <c r="J115" s="32"/>
      <c r="K115" s="32"/>
      <c r="L115" s="32"/>
      <c r="M115" s="32"/>
      <c r="N115" s="33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spans="1:26" s="34" customFormat="1" x14ac:dyDescent="0.35">
      <c r="A116" s="31"/>
      <c r="B116" s="27"/>
      <c r="C116" s="35"/>
      <c r="E116" s="32"/>
      <c r="F116" s="32"/>
      <c r="G116" s="32"/>
      <c r="H116" s="32"/>
      <c r="I116" s="33"/>
      <c r="J116" s="32"/>
      <c r="K116" s="32"/>
      <c r="L116" s="32"/>
      <c r="M116" s="32"/>
      <c r="N116" s="33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spans="1:26" s="34" customFormat="1" x14ac:dyDescent="0.35">
      <c r="A117" s="31"/>
      <c r="B117" s="27"/>
      <c r="C117" s="35"/>
      <c r="E117" s="32"/>
      <c r="F117" s="32"/>
      <c r="G117" s="32"/>
      <c r="H117" s="32"/>
      <c r="I117" s="33"/>
      <c r="J117" s="32"/>
      <c r="K117" s="32"/>
      <c r="L117" s="32"/>
      <c r="M117" s="32"/>
      <c r="N117" s="33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spans="1:26" s="34" customFormat="1" x14ac:dyDescent="0.35">
      <c r="A118" s="31"/>
      <c r="B118" s="27"/>
      <c r="C118" s="35"/>
      <c r="E118" s="32"/>
      <c r="F118" s="32"/>
      <c r="G118" s="32"/>
      <c r="H118" s="32"/>
      <c r="I118" s="33"/>
      <c r="J118" s="32"/>
      <c r="K118" s="32"/>
      <c r="L118" s="32"/>
      <c r="M118" s="32"/>
      <c r="N118" s="33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spans="1:26" s="34" customFormat="1" x14ac:dyDescent="0.35">
      <c r="A119" s="31"/>
      <c r="B119" s="27"/>
      <c r="C119" s="35"/>
      <c r="E119" s="32"/>
      <c r="F119" s="32"/>
      <c r="G119" s="32"/>
      <c r="H119" s="32"/>
      <c r="I119" s="33"/>
      <c r="J119" s="32"/>
      <c r="K119" s="32"/>
      <c r="L119" s="32"/>
      <c r="M119" s="32"/>
      <c r="N119" s="33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spans="1:26" s="34" customFormat="1" x14ac:dyDescent="0.35">
      <c r="A120" s="31"/>
      <c r="B120" s="27"/>
      <c r="C120" s="35"/>
      <c r="E120" s="32"/>
      <c r="F120" s="32"/>
      <c r="G120" s="32"/>
      <c r="H120" s="32"/>
      <c r="I120" s="33"/>
      <c r="J120" s="32"/>
      <c r="K120" s="32"/>
      <c r="L120" s="32"/>
      <c r="M120" s="32"/>
      <c r="N120" s="33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spans="1:26" s="34" customFormat="1" x14ac:dyDescent="0.35">
      <c r="A121" s="31"/>
      <c r="B121" s="27"/>
      <c r="C121" s="35"/>
      <c r="E121" s="32"/>
      <c r="F121" s="32"/>
      <c r="G121" s="32"/>
      <c r="H121" s="32"/>
      <c r="I121" s="33"/>
      <c r="J121" s="32"/>
      <c r="K121" s="32"/>
      <c r="L121" s="32"/>
      <c r="M121" s="32"/>
      <c r="N121" s="33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spans="1:26" s="34" customFormat="1" x14ac:dyDescent="0.35">
      <c r="A122" s="31"/>
      <c r="B122" s="27"/>
      <c r="C122" s="35"/>
      <c r="E122" s="32"/>
      <c r="F122" s="32"/>
      <c r="G122" s="32"/>
      <c r="H122" s="32"/>
      <c r="I122" s="33"/>
      <c r="J122" s="32"/>
      <c r="K122" s="32"/>
      <c r="L122" s="32"/>
      <c r="M122" s="32"/>
      <c r="N122" s="33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spans="1:26" s="34" customFormat="1" x14ac:dyDescent="0.35">
      <c r="A123" s="31"/>
      <c r="B123" s="27"/>
      <c r="C123" s="35"/>
      <c r="E123" s="32"/>
      <c r="F123" s="32"/>
      <c r="G123" s="32"/>
      <c r="H123" s="32"/>
      <c r="I123" s="33"/>
      <c r="J123" s="32"/>
      <c r="K123" s="32"/>
      <c r="L123" s="32"/>
      <c r="M123" s="32"/>
      <c r="N123" s="33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spans="1:26" s="34" customFormat="1" x14ac:dyDescent="0.35">
      <c r="A124" s="31"/>
      <c r="B124" s="27"/>
      <c r="C124" s="35"/>
      <c r="E124" s="32"/>
      <c r="F124" s="32"/>
      <c r="G124" s="32"/>
      <c r="H124" s="32"/>
      <c r="I124" s="33"/>
      <c r="J124" s="32"/>
      <c r="K124" s="32"/>
      <c r="L124" s="32"/>
      <c r="M124" s="32"/>
      <c r="N124" s="33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spans="1:26" s="34" customFormat="1" x14ac:dyDescent="0.35">
      <c r="A125" s="31"/>
      <c r="B125" s="27"/>
      <c r="C125" s="35"/>
      <c r="E125" s="32"/>
      <c r="F125" s="32"/>
      <c r="G125" s="32"/>
      <c r="H125" s="32"/>
      <c r="I125" s="33"/>
      <c r="J125" s="32"/>
      <c r="K125" s="32"/>
      <c r="L125" s="32"/>
      <c r="M125" s="32"/>
      <c r="N125" s="33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spans="1:26" s="34" customFormat="1" x14ac:dyDescent="0.35">
      <c r="A126" s="31"/>
      <c r="B126" s="27"/>
      <c r="C126" s="35"/>
      <c r="E126" s="32"/>
      <c r="F126" s="32"/>
      <c r="G126" s="32"/>
      <c r="H126" s="32"/>
      <c r="I126" s="33"/>
      <c r="J126" s="32"/>
      <c r="K126" s="32"/>
      <c r="L126" s="32"/>
      <c r="M126" s="32"/>
      <c r="N126" s="33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spans="1:26" s="34" customFormat="1" x14ac:dyDescent="0.35">
      <c r="A127" s="31"/>
      <c r="B127" s="27"/>
      <c r="C127" s="35"/>
      <c r="E127" s="32"/>
      <c r="F127" s="32"/>
      <c r="G127" s="32"/>
      <c r="H127" s="32"/>
      <c r="I127" s="33"/>
      <c r="J127" s="32"/>
      <c r="K127" s="32"/>
      <c r="L127" s="32"/>
      <c r="M127" s="32"/>
      <c r="N127" s="33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spans="1:26" s="34" customFormat="1" x14ac:dyDescent="0.35">
      <c r="A128" s="31"/>
      <c r="B128" s="27"/>
      <c r="C128" s="35"/>
      <c r="E128" s="32"/>
      <c r="F128" s="32"/>
      <c r="G128" s="32"/>
      <c r="H128" s="32"/>
      <c r="I128" s="33"/>
      <c r="J128" s="32"/>
      <c r="K128" s="32"/>
      <c r="L128" s="32"/>
      <c r="M128" s="32"/>
      <c r="N128" s="33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spans="1:26" s="34" customFormat="1" x14ac:dyDescent="0.35">
      <c r="A129" s="31"/>
      <c r="B129" s="27"/>
      <c r="C129" s="35"/>
      <c r="E129" s="32"/>
      <c r="F129" s="32"/>
      <c r="G129" s="32"/>
      <c r="H129" s="32"/>
      <c r="I129" s="33"/>
      <c r="J129" s="32"/>
      <c r="K129" s="32"/>
      <c r="L129" s="32"/>
      <c r="M129" s="32"/>
      <c r="N129" s="33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spans="1:26" s="34" customFormat="1" x14ac:dyDescent="0.35">
      <c r="A130" s="31"/>
      <c r="B130" s="27"/>
      <c r="C130" s="35"/>
      <c r="E130" s="32"/>
      <c r="F130" s="32"/>
      <c r="G130" s="32"/>
      <c r="H130" s="32"/>
      <c r="I130" s="33"/>
      <c r="J130" s="32"/>
      <c r="K130" s="32"/>
      <c r="L130" s="32"/>
      <c r="M130" s="32"/>
      <c r="N130" s="33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spans="1:26" s="34" customFormat="1" x14ac:dyDescent="0.35">
      <c r="A131" s="31"/>
      <c r="B131" s="27"/>
      <c r="C131" s="35"/>
      <c r="E131" s="32"/>
      <c r="F131" s="32"/>
      <c r="G131" s="32"/>
      <c r="H131" s="32"/>
      <c r="I131" s="33"/>
      <c r="J131" s="32"/>
      <c r="K131" s="32"/>
      <c r="L131" s="32"/>
      <c r="M131" s="32"/>
      <c r="N131" s="33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spans="1:26" s="34" customFormat="1" x14ac:dyDescent="0.35">
      <c r="A132" s="31"/>
      <c r="B132" s="27"/>
      <c r="C132" s="35"/>
      <c r="E132" s="32"/>
      <c r="F132" s="32"/>
      <c r="G132" s="32"/>
      <c r="H132" s="32"/>
      <c r="I132" s="33"/>
      <c r="J132" s="32"/>
      <c r="K132" s="32"/>
      <c r="L132" s="32"/>
      <c r="M132" s="32"/>
      <c r="N132" s="33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spans="1:26" s="34" customFormat="1" x14ac:dyDescent="0.35">
      <c r="A133" s="31"/>
      <c r="B133" s="27"/>
      <c r="C133" s="35"/>
      <c r="E133" s="32"/>
      <c r="F133" s="32"/>
      <c r="G133" s="32"/>
      <c r="H133" s="32"/>
      <c r="I133" s="33"/>
      <c r="J133" s="32"/>
      <c r="K133" s="32"/>
      <c r="L133" s="32"/>
      <c r="M133" s="32"/>
      <c r="N133" s="33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spans="1:26" s="34" customFormat="1" x14ac:dyDescent="0.35">
      <c r="A134" s="31"/>
      <c r="B134" s="27"/>
      <c r="C134" s="35"/>
      <c r="E134" s="32"/>
      <c r="F134" s="32"/>
      <c r="G134" s="32"/>
      <c r="H134" s="32"/>
      <c r="I134" s="33"/>
      <c r="J134" s="32"/>
      <c r="K134" s="32"/>
      <c r="L134" s="32"/>
      <c r="M134" s="32"/>
      <c r="N134" s="33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spans="1:26" s="34" customFormat="1" x14ac:dyDescent="0.35">
      <c r="A135" s="31"/>
      <c r="B135" s="27"/>
      <c r="C135" s="35"/>
      <c r="E135" s="32"/>
      <c r="F135" s="32"/>
      <c r="G135" s="32"/>
      <c r="H135" s="32"/>
      <c r="I135" s="33"/>
      <c r="J135" s="32"/>
      <c r="K135" s="32"/>
      <c r="L135" s="32"/>
      <c r="M135" s="32"/>
      <c r="N135" s="33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spans="1:26" s="34" customFormat="1" x14ac:dyDescent="0.35">
      <c r="A136" s="31"/>
      <c r="B136" s="27"/>
      <c r="C136" s="35"/>
      <c r="E136" s="32"/>
      <c r="F136" s="32"/>
      <c r="G136" s="32"/>
      <c r="H136" s="32"/>
      <c r="I136" s="33"/>
      <c r="J136" s="32"/>
      <c r="K136" s="32"/>
      <c r="L136" s="32"/>
      <c r="M136" s="32"/>
      <c r="N136" s="33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spans="1:26" s="34" customFormat="1" x14ac:dyDescent="0.35">
      <c r="A137" s="31"/>
      <c r="B137" s="27"/>
      <c r="C137" s="35"/>
      <c r="E137" s="32"/>
      <c r="F137" s="32"/>
      <c r="G137" s="32"/>
      <c r="H137" s="32"/>
      <c r="I137" s="33"/>
      <c r="J137" s="32"/>
      <c r="K137" s="32"/>
      <c r="L137" s="32"/>
      <c r="M137" s="32"/>
      <c r="N137" s="33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spans="1:26" s="34" customFormat="1" x14ac:dyDescent="0.35">
      <c r="A138" s="31"/>
      <c r="B138" s="27"/>
      <c r="C138" s="35"/>
      <c r="E138" s="32"/>
      <c r="F138" s="32"/>
      <c r="G138" s="32"/>
      <c r="H138" s="32"/>
      <c r="I138" s="33"/>
      <c r="J138" s="32"/>
      <c r="K138" s="32"/>
      <c r="L138" s="32"/>
      <c r="M138" s="32"/>
      <c r="N138" s="33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spans="1:26" s="34" customFormat="1" x14ac:dyDescent="0.35">
      <c r="A139" s="31"/>
      <c r="B139" s="27"/>
      <c r="C139" s="35"/>
      <c r="E139" s="32"/>
      <c r="F139" s="32"/>
      <c r="G139" s="32"/>
      <c r="H139" s="32"/>
      <c r="I139" s="33"/>
      <c r="J139" s="32"/>
      <c r="K139" s="32"/>
      <c r="L139" s="32"/>
      <c r="M139" s="32"/>
      <c r="N139" s="33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spans="1:26" s="34" customFormat="1" x14ac:dyDescent="0.35">
      <c r="A140" s="31"/>
      <c r="B140" s="27"/>
      <c r="C140" s="35"/>
      <c r="E140" s="32"/>
      <c r="F140" s="32"/>
      <c r="G140" s="32"/>
      <c r="H140" s="32"/>
      <c r="I140" s="33"/>
      <c r="J140" s="32"/>
      <c r="K140" s="32"/>
      <c r="L140" s="32"/>
      <c r="M140" s="32"/>
      <c r="N140" s="33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spans="1:26" s="34" customFormat="1" x14ac:dyDescent="0.35">
      <c r="A141" s="31"/>
      <c r="B141" s="27"/>
      <c r="C141" s="35"/>
      <c r="E141" s="32"/>
      <c r="F141" s="32"/>
      <c r="G141" s="32"/>
      <c r="H141" s="32"/>
      <c r="I141" s="33"/>
      <c r="J141" s="32"/>
      <c r="K141" s="32"/>
      <c r="L141" s="32"/>
      <c r="M141" s="32"/>
      <c r="N141" s="33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spans="1:26" s="34" customFormat="1" x14ac:dyDescent="0.35">
      <c r="A142" s="31"/>
      <c r="B142" s="27"/>
      <c r="C142" s="35"/>
      <c r="E142" s="32"/>
      <c r="F142" s="32"/>
      <c r="G142" s="32"/>
      <c r="H142" s="32"/>
      <c r="I142" s="33"/>
      <c r="J142" s="32"/>
      <c r="K142" s="32"/>
      <c r="L142" s="32"/>
      <c r="M142" s="32"/>
      <c r="N142" s="33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spans="1:26" s="34" customFormat="1" x14ac:dyDescent="0.35">
      <c r="A143" s="31"/>
      <c r="B143" s="27"/>
      <c r="C143" s="35"/>
      <c r="E143" s="32"/>
      <c r="F143" s="32"/>
      <c r="G143" s="32"/>
      <c r="H143" s="32"/>
      <c r="I143" s="33"/>
      <c r="J143" s="32"/>
      <c r="K143" s="32"/>
      <c r="L143" s="32"/>
      <c r="M143" s="32"/>
      <c r="N143" s="33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spans="1:26" s="34" customFormat="1" x14ac:dyDescent="0.35">
      <c r="A144" s="31"/>
      <c r="B144" s="27"/>
      <c r="C144" s="35"/>
      <c r="E144" s="32"/>
      <c r="F144" s="32"/>
      <c r="G144" s="32"/>
      <c r="H144" s="32"/>
      <c r="I144" s="33"/>
      <c r="J144" s="32"/>
      <c r="K144" s="32"/>
      <c r="L144" s="32"/>
      <c r="M144" s="32"/>
      <c r="N144" s="33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spans="1:26" s="34" customFormat="1" x14ac:dyDescent="0.35">
      <c r="A145" s="31"/>
      <c r="B145" s="27"/>
      <c r="C145" s="35"/>
      <c r="E145" s="32"/>
      <c r="F145" s="32"/>
      <c r="G145" s="32"/>
      <c r="H145" s="32"/>
      <c r="I145" s="33"/>
      <c r="J145" s="32"/>
      <c r="K145" s="32"/>
      <c r="L145" s="32"/>
      <c r="M145" s="32"/>
      <c r="N145" s="33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spans="1:26" s="34" customFormat="1" x14ac:dyDescent="0.35">
      <c r="A146" s="31"/>
      <c r="B146" s="27"/>
      <c r="C146" s="35"/>
      <c r="E146" s="32"/>
      <c r="F146" s="32"/>
      <c r="G146" s="32"/>
      <c r="H146" s="32"/>
      <c r="I146" s="33"/>
      <c r="J146" s="32"/>
      <c r="K146" s="32"/>
      <c r="L146" s="32"/>
      <c r="M146" s="32"/>
      <c r="N146" s="33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spans="1:26" s="34" customFormat="1" x14ac:dyDescent="0.35">
      <c r="A147" s="31"/>
      <c r="B147" s="27"/>
      <c r="C147" s="35"/>
      <c r="E147" s="32"/>
      <c r="F147" s="32"/>
      <c r="G147" s="32"/>
      <c r="H147" s="32"/>
      <c r="I147" s="33"/>
      <c r="J147" s="32"/>
      <c r="K147" s="32"/>
      <c r="L147" s="32"/>
      <c r="M147" s="32"/>
      <c r="N147" s="33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spans="1:26" s="34" customFormat="1" x14ac:dyDescent="0.35">
      <c r="A148" s="31"/>
      <c r="B148" s="27"/>
      <c r="C148" s="35"/>
      <c r="E148" s="32"/>
      <c r="F148" s="32"/>
      <c r="G148" s="32"/>
      <c r="H148" s="32"/>
      <c r="I148" s="33"/>
      <c r="J148" s="32"/>
      <c r="K148" s="32"/>
      <c r="L148" s="32"/>
      <c r="M148" s="32"/>
      <c r="N148" s="33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spans="1:26" s="34" customFormat="1" x14ac:dyDescent="0.35">
      <c r="A149" s="31"/>
      <c r="B149" s="27"/>
      <c r="C149" s="35"/>
      <c r="E149" s="32"/>
      <c r="F149" s="32"/>
      <c r="G149" s="32"/>
      <c r="H149" s="32"/>
      <c r="I149" s="33"/>
      <c r="J149" s="32"/>
      <c r="K149" s="32"/>
      <c r="L149" s="32"/>
      <c r="M149" s="32"/>
      <c r="N149" s="33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spans="1:26" s="34" customFormat="1" x14ac:dyDescent="0.35">
      <c r="A150" s="31"/>
      <c r="B150" s="27"/>
      <c r="C150" s="35"/>
      <c r="E150" s="32"/>
      <c r="F150" s="32"/>
      <c r="G150" s="32"/>
      <c r="H150" s="32"/>
      <c r="I150" s="33"/>
      <c r="J150" s="32"/>
      <c r="K150" s="32"/>
      <c r="L150" s="32"/>
      <c r="M150" s="32"/>
      <c r="N150" s="33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spans="1:26" s="34" customFormat="1" x14ac:dyDescent="0.35">
      <c r="A151" s="31"/>
      <c r="B151" s="27"/>
      <c r="C151" s="35"/>
      <c r="E151" s="32"/>
      <c r="F151" s="32"/>
      <c r="G151" s="32"/>
      <c r="H151" s="32"/>
      <c r="I151" s="33"/>
      <c r="J151" s="32"/>
      <c r="K151" s="32"/>
      <c r="L151" s="32"/>
      <c r="M151" s="32"/>
      <c r="N151" s="33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spans="1:26" s="34" customFormat="1" x14ac:dyDescent="0.35">
      <c r="A152" s="31"/>
      <c r="B152" s="27"/>
      <c r="C152" s="35"/>
      <c r="E152" s="32"/>
      <c r="F152" s="32"/>
      <c r="G152" s="32"/>
      <c r="H152" s="32"/>
      <c r="I152" s="33"/>
      <c r="J152" s="32"/>
      <c r="K152" s="32"/>
      <c r="L152" s="32"/>
      <c r="M152" s="32"/>
      <c r="N152" s="33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spans="1:26" s="34" customFormat="1" x14ac:dyDescent="0.35">
      <c r="A153" s="31"/>
      <c r="B153" s="27"/>
      <c r="C153" s="35"/>
      <c r="E153" s="32"/>
      <c r="F153" s="32"/>
      <c r="G153" s="32"/>
      <c r="H153" s="32"/>
      <c r="I153" s="33"/>
      <c r="J153" s="32"/>
      <c r="K153" s="32"/>
      <c r="L153" s="32"/>
      <c r="M153" s="32"/>
      <c r="N153" s="33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spans="1:26" s="34" customFormat="1" x14ac:dyDescent="0.35">
      <c r="A154" s="31"/>
      <c r="B154" s="27"/>
      <c r="C154" s="35"/>
      <c r="E154" s="32"/>
      <c r="F154" s="32"/>
      <c r="G154" s="32"/>
      <c r="H154" s="32"/>
      <c r="I154" s="33"/>
      <c r="J154" s="32"/>
      <c r="K154" s="32"/>
      <c r="L154" s="32"/>
      <c r="M154" s="32"/>
      <c r="N154" s="33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spans="1:26" s="34" customFormat="1" x14ac:dyDescent="0.35">
      <c r="A155" s="31"/>
      <c r="B155" s="27"/>
      <c r="C155" s="35"/>
      <c r="E155" s="32"/>
      <c r="F155" s="32"/>
      <c r="G155" s="32"/>
      <c r="H155" s="32"/>
      <c r="I155" s="33"/>
      <c r="J155" s="32"/>
      <c r="K155" s="32"/>
      <c r="L155" s="32"/>
      <c r="M155" s="32"/>
      <c r="N155" s="33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spans="1:26" s="34" customFormat="1" x14ac:dyDescent="0.35">
      <c r="A156" s="31"/>
      <c r="B156" s="27"/>
      <c r="C156" s="35"/>
      <c r="E156" s="32"/>
      <c r="F156" s="32"/>
      <c r="G156" s="32"/>
      <c r="H156" s="32"/>
      <c r="I156" s="33"/>
      <c r="J156" s="32"/>
      <c r="K156" s="32"/>
      <c r="L156" s="32"/>
      <c r="M156" s="32"/>
      <c r="N156" s="33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spans="1:26" s="34" customFormat="1" x14ac:dyDescent="0.35">
      <c r="A157" s="31"/>
      <c r="B157" s="27"/>
      <c r="C157" s="35"/>
      <c r="E157" s="32"/>
      <c r="F157" s="32"/>
      <c r="G157" s="32"/>
      <c r="H157" s="32"/>
      <c r="I157" s="33"/>
      <c r="J157" s="32"/>
      <c r="K157" s="32"/>
      <c r="L157" s="32"/>
      <c r="M157" s="32"/>
      <c r="N157" s="33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spans="1:26" s="34" customFormat="1" x14ac:dyDescent="0.35">
      <c r="A158" s="31"/>
      <c r="B158" s="27"/>
      <c r="C158" s="35"/>
      <c r="E158" s="32"/>
      <c r="F158" s="32"/>
      <c r="G158" s="32"/>
      <c r="H158" s="32"/>
      <c r="I158" s="33"/>
      <c r="J158" s="32"/>
      <c r="K158" s="32"/>
      <c r="L158" s="32"/>
      <c r="M158" s="32"/>
      <c r="N158" s="33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spans="1:26" s="34" customFormat="1" x14ac:dyDescent="0.35">
      <c r="A159" s="31"/>
      <c r="B159" s="27"/>
      <c r="C159" s="35"/>
      <c r="E159" s="32"/>
      <c r="F159" s="32"/>
      <c r="G159" s="32"/>
      <c r="H159" s="32"/>
      <c r="I159" s="33"/>
      <c r="J159" s="32"/>
      <c r="K159" s="32"/>
      <c r="L159" s="32"/>
      <c r="M159" s="32"/>
      <c r="N159" s="33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spans="1:26" s="34" customFormat="1" x14ac:dyDescent="0.35">
      <c r="A160" s="31"/>
      <c r="B160" s="27"/>
      <c r="C160" s="35"/>
      <c r="E160" s="32"/>
      <c r="F160" s="32"/>
      <c r="G160" s="32"/>
      <c r="H160" s="32"/>
      <c r="I160" s="33"/>
      <c r="J160" s="32"/>
      <c r="K160" s="32"/>
      <c r="L160" s="32"/>
      <c r="M160" s="32"/>
      <c r="N160" s="33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spans="1:26" s="34" customFormat="1" x14ac:dyDescent="0.35">
      <c r="A161" s="31"/>
      <c r="B161" s="27"/>
      <c r="C161" s="35"/>
      <c r="E161" s="32"/>
      <c r="F161" s="32"/>
      <c r="G161" s="32"/>
      <c r="H161" s="32"/>
      <c r="I161" s="33"/>
      <c r="J161" s="32"/>
      <c r="K161" s="32"/>
      <c r="L161" s="32"/>
      <c r="M161" s="32"/>
      <c r="N161" s="33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spans="1:26" s="34" customFormat="1" x14ac:dyDescent="0.35">
      <c r="A162" s="31"/>
      <c r="B162" s="27"/>
      <c r="C162" s="35"/>
      <c r="E162" s="32"/>
      <c r="F162" s="32"/>
      <c r="G162" s="32"/>
      <c r="H162" s="32"/>
      <c r="I162" s="33"/>
      <c r="J162" s="32"/>
      <c r="K162" s="32"/>
      <c r="L162" s="32"/>
      <c r="M162" s="32"/>
      <c r="N162" s="33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spans="1:26" s="34" customFormat="1" x14ac:dyDescent="0.35">
      <c r="A163" s="31"/>
      <c r="B163" s="27"/>
      <c r="C163" s="35"/>
      <c r="E163" s="32"/>
      <c r="F163" s="32"/>
      <c r="G163" s="32"/>
      <c r="H163" s="32"/>
      <c r="I163" s="33"/>
      <c r="J163" s="32"/>
      <c r="K163" s="32"/>
      <c r="L163" s="32"/>
      <c r="M163" s="32"/>
      <c r="N163" s="33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spans="1:26" s="34" customFormat="1" x14ac:dyDescent="0.35">
      <c r="A164" s="31"/>
      <c r="B164" s="27"/>
      <c r="C164" s="35"/>
      <c r="E164" s="32"/>
      <c r="F164" s="32"/>
      <c r="G164" s="32"/>
      <c r="H164" s="32"/>
      <c r="I164" s="33"/>
      <c r="J164" s="32"/>
      <c r="K164" s="32"/>
      <c r="L164" s="32"/>
      <c r="M164" s="32"/>
      <c r="N164" s="33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spans="1:26" s="34" customFormat="1" x14ac:dyDescent="0.35">
      <c r="A165" s="31"/>
      <c r="B165" s="27"/>
      <c r="C165" s="35"/>
      <c r="E165" s="32"/>
      <c r="F165" s="32"/>
      <c r="G165" s="32"/>
      <c r="H165" s="32"/>
      <c r="I165" s="33"/>
      <c r="J165" s="32"/>
      <c r="K165" s="32"/>
      <c r="L165" s="32"/>
      <c r="M165" s="32"/>
      <c r="N165" s="33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spans="1:26" s="34" customFormat="1" x14ac:dyDescent="0.35">
      <c r="A166" s="31"/>
      <c r="B166" s="27"/>
      <c r="C166" s="35"/>
      <c r="E166" s="32"/>
      <c r="F166" s="32"/>
      <c r="G166" s="32"/>
      <c r="H166" s="32"/>
      <c r="I166" s="33"/>
      <c r="J166" s="32"/>
      <c r="K166" s="32"/>
      <c r="L166" s="32"/>
      <c r="M166" s="32"/>
      <c r="N166" s="33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spans="1:26" s="34" customFormat="1" x14ac:dyDescent="0.35">
      <c r="A167" s="31"/>
      <c r="B167" s="27"/>
      <c r="C167" s="35"/>
      <c r="E167" s="32"/>
      <c r="F167" s="32"/>
      <c r="G167" s="32"/>
      <c r="H167" s="32"/>
      <c r="I167" s="33"/>
      <c r="J167" s="32"/>
      <c r="K167" s="32"/>
      <c r="L167" s="32"/>
      <c r="M167" s="32"/>
      <c r="N167" s="33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spans="1:26" s="34" customFormat="1" x14ac:dyDescent="0.35">
      <c r="A168" s="31"/>
      <c r="B168" s="27"/>
      <c r="C168" s="35"/>
      <c r="E168" s="32"/>
      <c r="F168" s="32"/>
      <c r="G168" s="32"/>
      <c r="H168" s="32"/>
      <c r="I168" s="33"/>
      <c r="J168" s="32"/>
      <c r="K168" s="32"/>
      <c r="L168" s="32"/>
      <c r="M168" s="32"/>
      <c r="N168" s="33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spans="1:26" s="34" customFormat="1" x14ac:dyDescent="0.35">
      <c r="A169" s="31"/>
      <c r="B169" s="27"/>
      <c r="C169" s="35"/>
      <c r="E169" s="32"/>
      <c r="F169" s="32"/>
      <c r="G169" s="32"/>
      <c r="H169" s="32"/>
      <c r="I169" s="33"/>
      <c r="J169" s="32"/>
      <c r="K169" s="32"/>
      <c r="L169" s="32"/>
      <c r="M169" s="32"/>
      <c r="N169" s="33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</sheetData>
  <mergeCells count="4">
    <mergeCell ref="A1:J1"/>
    <mergeCell ref="A2:J2"/>
    <mergeCell ref="C71:F71"/>
    <mergeCell ref="E96:F96"/>
  </mergeCells>
  <phoneticPr fontId="7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MAY 2026</vt:lpstr>
      <vt:lpstr>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BUKOLA AJAYI</dc:creator>
  <cp:lastModifiedBy>Bukola AJAYI</cp:lastModifiedBy>
  <dcterms:created xsi:type="dcterms:W3CDTF">2025-11-07T06:57:44Z</dcterms:created>
  <dcterms:modified xsi:type="dcterms:W3CDTF">2026-05-14T08:18:23Z</dcterms:modified>
</cp:coreProperties>
</file>